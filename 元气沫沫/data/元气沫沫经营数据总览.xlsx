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3380" tabRatio="940"/>
  </bookViews>
  <sheets>
    <sheet name="总计" sheetId="1" r:id="rId1"/>
    <sheet name="北京朝阳站店" sheetId="2" r:id="rId2"/>
    <sheet name="平安里店" sheetId="3" r:id="rId3"/>
    <sheet name="蓟门桥店" sheetId="4" r:id="rId4"/>
    <sheet name="鼓楼大街店" sheetId="5" r:id="rId5"/>
    <sheet name="安华桥店" sheetId="6" r:id="rId6"/>
    <sheet name="北沙滩店" sheetId="7" r:id="rId7"/>
    <sheet name="三元桥店" sheetId="8" r:id="rId8"/>
    <sheet name="人民大学店" sheetId="9" r:id="rId9"/>
    <sheet name="望京东店" sheetId="10" r:id="rId10"/>
    <sheet name="高家园店" sheetId="11" r:id="rId11"/>
    <sheet name="草桥店" sheetId="12" r:id="rId12"/>
    <sheet name="崔各庄店" sheetId="13" r:id="rId13"/>
    <sheet name="和平西桥店" sheetId="14" r:id="rId14"/>
    <sheet name="东四十条店" sheetId="15" r:id="rId15"/>
    <sheet name="草房店" sheetId="16" r:id="rId16"/>
    <sheet name="成寿寺店" sheetId="17" r:id="rId17"/>
    <sheet name="安贞桥店" sheetId="18" r:id="rId18"/>
    <sheet name="石佛营店" sheetId="19" r:id="rId19"/>
    <sheet name="北太平庄店" sheetId="20" r:id="rId20"/>
    <sheet name="将台西店" sheetId="21" r:id="rId21"/>
    <sheet name="四季青桥店" sheetId="22" r:id="rId22"/>
    <sheet name="蓝靛厂店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<sst xmlns="http://schemas.openxmlformats.org/spreadsheetml/2006/main" count="688" uniqueCount="30">
  <si>
    <t>月份</t>
  </si>
  <si>
    <t>订单量</t>
  </si>
  <si>
    <t>销售数量</t>
  </si>
  <si>
    <t>销售收入</t>
  </si>
  <si>
    <t>优惠金额</t>
  </si>
  <si>
    <t>优惠占比</t>
  </si>
  <si>
    <t>品项收入</t>
  </si>
  <si>
    <t>毛利额</t>
  </si>
  <si>
    <t>毛利率</t>
  </si>
  <si>
    <t>客单价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</si>
  <si>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</si>
  <si>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</si>
  <si>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</si>
  <si>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</si>
  <si>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</si>
  <si>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</si>
  <si>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</si>
  <si>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</si>
  <si>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</si>
  <si>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</si>
  <si>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</si>
  <si>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</si>
  <si>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</si>
  <si>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</si>
  <si>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</si>
  <si>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2026年4月</t>
  </si>
  <si>
    <t>2026年5月</t>
  </si>
  <si>
    <t>2026年6月</t>
  </si>
  <si>
    <t>收银POS</t>
  </si>
  <si>
    <t>点餐助手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</si>
</sst>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pane ySplit="1" topLeftCell="A2" activePane="bottomLeft" state="frozen"/>
      <selection/>
      <selection pane="bottomLeft" activeCell="I35" sqref="I35"/>
    </sheetView>
  </sheetViews>
  <sheetFormatPr defaultColWidth="9" defaultRowHeight="14.4"/>
  <cols>
    <col min="1" max="1" width="11.8981481481481" style="18" customWidth="1"/>
    <col min="2" max="2" width="13" style="18" customWidth="1"/>
    <col min="3" max="3" width="10.1018518518519" style="18" customWidth="1"/>
    <col min="4" max="10" width="13" style="18" customWidth="1"/>
    <col min="11" max="16384" width="9" style="18" customWidth="1"/>
  </cols>
  <sheetData>
    <row r="1" ht="15.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 spans="1:10">
      <c r="A2" s="10" t="s">
        <v>10</v>
      </c>
      <c r="B2" s="11">
        <v>7371</v>
      </c>
      <c r="C2" s="11">
        <v>12249</v>
      </c>
      <c r="D2" s="12">
        <v>149529</v>
      </c>
      <c r="E2" s="12">
        <v>26749.65</v>
      </c>
      <c r="F2" s="13">
        <f t="shared" ref="F2:F19" si="0">IF(D2=0,"-",E2/D2)</f>
        <v>0.178892723150693</v>
      </c>
      <c r="G2" s="12">
        <v>122779.35</v>
      </c>
      <c r="H2" s="12">
        <v>61602.72</v>
      </c>
      <c r="I2" s="13">
        <f t="shared" ref="I2:I19" si="1">IF(G2=0,"-",H2/G2)</f>
        <v>0.501735185924995</v>
      </c>
      <c r="J2" s="12">
        <f t="shared" ref="J2:J19" si="2">IF(B2=0,"-",D2/B2)</f>
        <v>20.2861212861213</v>
      </c>
    </row>
    <row r="3" ht="15" customHeight="1" spans="1:10">
      <c r="A3" s="14" t="s">
        <v>11</v>
      </c>
      <c r="B3" s="15">
        <v>8028</v>
      </c>
      <c r="C3" s="15">
        <v>13798</v>
      </c>
      <c r="D3" s="16">
        <v>143237.7</v>
      </c>
      <c r="E3" s="16">
        <v>23739.3</v>
      </c>
      <c r="F3" s="17">
        <f t="shared" si="0"/>
        <v>0.165733602256948</v>
      </c>
      <c r="G3" s="16">
        <v>119498.4</v>
      </c>
      <c r="H3" s="16">
        <v>58151.61</v>
      </c>
      <c r="I3" s="17">
        <f t="shared" si="1"/>
        <v>0.486630867024161</v>
      </c>
      <c r="J3" s="16">
        <f t="shared" si="2"/>
        <v>17.842264573991</v>
      </c>
    </row>
    <row r="4" ht="15" customHeight="1" spans="1:10">
      <c r="A4" s="10" t="s">
        <v>12</v>
      </c>
      <c r="B4" s="11">
        <v>17693</v>
      </c>
      <c r="C4" s="11">
        <v>31357</v>
      </c>
      <c r="D4" s="12">
        <v>335185.7</v>
      </c>
      <c r="E4" s="12">
        <v>76387.9</v>
      </c>
      <c r="F4" s="13">
        <f t="shared" si="0"/>
        <v>0.227897252179911</v>
      </c>
      <c r="G4" s="12">
        <v>258797.8</v>
      </c>
      <c r="H4" s="12">
        <v>118528.85</v>
      </c>
      <c r="I4" s="13">
        <f t="shared" si="1"/>
        <v>0.45799790415529</v>
      </c>
      <c r="J4" s="12">
        <f t="shared" si="2"/>
        <v>18.9445373876674</v>
      </c>
    </row>
    <row r="5" ht="15" customHeight="1" spans="1:10">
      <c r="A5" s="14" t="s">
        <v>13</v>
      </c>
      <c r="B5" s="15">
        <v>25693</v>
      </c>
      <c r="C5" s="15">
        <v>48048</v>
      </c>
      <c r="D5" s="16">
        <v>486933.4</v>
      </c>
      <c r="E5" s="16">
        <v>76293.42</v>
      </c>
      <c r="F5" s="17">
        <f t="shared" si="0"/>
        <v>0.156681427069903</v>
      </c>
      <c r="G5" s="16">
        <v>410639.98</v>
      </c>
      <c r="H5" s="16">
        <v>191065.84</v>
      </c>
      <c r="I5" s="17">
        <f t="shared" si="1"/>
        <v>0.465287963436975</v>
      </c>
      <c r="J5" s="16">
        <f t="shared" si="2"/>
        <v>18.9519869225081</v>
      </c>
    </row>
    <row r="6" ht="15" customHeight="1" spans="1:10">
      <c r="A6" s="10" t="s">
        <v>14</v>
      </c>
      <c r="B6" s="11">
        <v>24436</v>
      </c>
      <c r="C6" s="11">
        <v>48682</v>
      </c>
      <c r="D6" s="12">
        <v>485360.2</v>
      </c>
      <c r="E6" s="12">
        <v>86076.29</v>
      </c>
      <c r="F6" s="13">
        <f t="shared" si="0"/>
        <v>0.177345175809636</v>
      </c>
      <c r="G6" s="12">
        <v>399283.91</v>
      </c>
      <c r="H6" s="12">
        <v>183785.84</v>
      </c>
      <c r="I6" s="13">
        <f t="shared" si="1"/>
        <v>0.460288620195089</v>
      </c>
      <c r="J6" s="12">
        <f t="shared" si="2"/>
        <v>19.8625061384842</v>
      </c>
    </row>
    <row r="7" ht="15" customHeight="1" spans="1:10">
      <c r="A7" s="14" t="s">
        <v>15</v>
      </c>
      <c r="B7" s="15">
        <v>25089</v>
      </c>
      <c r="C7" s="15">
        <v>48071</v>
      </c>
      <c r="D7" s="16">
        <v>459321.5</v>
      </c>
      <c r="E7" s="16">
        <v>64799.41</v>
      </c>
      <c r="F7" s="17">
        <f t="shared" si="0"/>
        <v>0.141076370254822</v>
      </c>
      <c r="G7" s="16">
        <v>394522.09</v>
      </c>
      <c r="H7" s="16">
        <v>182201.2</v>
      </c>
      <c r="I7" s="17">
        <f t="shared" si="1"/>
        <v>0.461827625418896</v>
      </c>
      <c r="J7" s="16">
        <f t="shared" si="2"/>
        <v>18.3076846426721</v>
      </c>
    </row>
    <row r="8" ht="15" customHeight="1" spans="1:10">
      <c r="A8" s="10" t="s">
        <v>16</v>
      </c>
      <c r="B8" s="11">
        <v>31775</v>
      </c>
      <c r="C8" s="11">
        <v>64567</v>
      </c>
      <c r="D8" s="12">
        <v>581952.5</v>
      </c>
      <c r="E8" s="12">
        <v>71685.15</v>
      </c>
      <c r="F8" s="13">
        <f t="shared" si="0"/>
        <v>0.123180414209063</v>
      </c>
      <c r="G8" s="12">
        <v>510267.35</v>
      </c>
      <c r="H8" s="12">
        <v>227902.47</v>
      </c>
      <c r="I8" s="13">
        <f t="shared" si="1"/>
        <v>0.446633455971659</v>
      </c>
      <c r="J8" s="12">
        <f t="shared" si="2"/>
        <v>18.3147915027537</v>
      </c>
    </row>
    <row r="9" ht="15" customHeight="1" spans="1:10">
      <c r="A9" s="14" t="s">
        <v>17</v>
      </c>
      <c r="B9" s="15">
        <v>28722</v>
      </c>
      <c r="C9" s="15">
        <v>61347</v>
      </c>
      <c r="D9" s="16">
        <v>533360</v>
      </c>
      <c r="E9" s="16">
        <v>54329.53</v>
      </c>
      <c r="F9" s="17">
        <f t="shared" si="0"/>
        <v>0.101862775611219</v>
      </c>
      <c r="G9" s="16">
        <v>479030.47</v>
      </c>
      <c r="H9" s="16">
        <v>218619.2</v>
      </c>
      <c r="I9" s="17">
        <f t="shared" si="1"/>
        <v>0.456378484650465</v>
      </c>
      <c r="J9" s="16">
        <f t="shared" si="2"/>
        <v>18.5697374834622</v>
      </c>
    </row>
    <row r="10" ht="15" customHeight="1" spans="1:10">
      <c r="A10" s="10" t="s">
        <v>18</v>
      </c>
      <c r="B10" s="11">
        <v>27462</v>
      </c>
      <c r="C10" s="11">
        <v>56449</v>
      </c>
      <c r="D10" s="12">
        <v>464304.4</v>
      </c>
      <c r="E10" s="12">
        <v>36502.02</v>
      </c>
      <c r="F10" s="13">
        <f t="shared" si="0"/>
        <v>0.0786165713699892</v>
      </c>
      <c r="G10" s="12">
        <v>427802.38</v>
      </c>
      <c r="H10" s="12">
        <v>210505.3</v>
      </c>
      <c r="I10" s="13">
        <f t="shared" si="1"/>
        <v>0.492062012371226</v>
      </c>
      <c r="J10" s="12">
        <f t="shared" si="2"/>
        <v>16.9071589833224</v>
      </c>
    </row>
    <row r="11" ht="15" customHeight="1" spans="1:10">
      <c r="A11" s="14" t="s">
        <v>19</v>
      </c>
      <c r="B11" s="15">
        <v>30582</v>
      </c>
      <c r="C11" s="15">
        <v>66261</v>
      </c>
      <c r="D11" s="16">
        <v>543108.4</v>
      </c>
      <c r="E11" s="16">
        <v>32544.92</v>
      </c>
      <c r="F11" s="17">
        <f t="shared" si="0"/>
        <v>0.0599234333330142</v>
      </c>
      <c r="G11" s="16">
        <v>510563.48</v>
      </c>
      <c r="H11" s="16">
        <v>265987.64</v>
      </c>
      <c r="I11" s="17">
        <f t="shared" si="1"/>
        <v>0.520968793145957</v>
      </c>
      <c r="J11" s="16">
        <f t="shared" si="2"/>
        <v>17.7590870446668</v>
      </c>
    </row>
    <row r="12" ht="15" customHeight="1" spans="1:10">
      <c r="A12" s="10" t="s">
        <v>20</v>
      </c>
      <c r="B12" s="11">
        <v>34538</v>
      </c>
      <c r="C12" s="11">
        <v>60134</v>
      </c>
      <c r="D12" s="12">
        <v>502150.9</v>
      </c>
      <c r="E12" s="12">
        <v>32086.65</v>
      </c>
      <c r="F12" s="13">
        <f t="shared" si="0"/>
        <v>0.0638984217692331</v>
      </c>
      <c r="G12" s="12">
        <v>470064.25</v>
      </c>
      <c r="H12" s="12">
        <v>251158.99</v>
      </c>
      <c r="I12" s="13">
        <f t="shared" si="1"/>
        <v>0.534307788775683</v>
      </c>
      <c r="J12" s="12">
        <f t="shared" si="2"/>
        <v>14.5390844866524</v>
      </c>
    </row>
    <row r="13" ht="15" customHeight="1" spans="1:10">
      <c r="A13" s="14" t="s">
        <v>21</v>
      </c>
      <c r="B13" s="15">
        <v>41284</v>
      </c>
      <c r="C13" s="15">
        <v>73013</v>
      </c>
      <c r="D13" s="16">
        <v>599421</v>
      </c>
      <c r="E13" s="16">
        <v>32104.36</v>
      </c>
      <c r="F13" s="17">
        <f t="shared" si="0"/>
        <v>0.0535589510544342</v>
      </c>
      <c r="G13" s="16">
        <v>567316.64</v>
      </c>
      <c r="H13" s="16">
        <v>301930.19</v>
      </c>
      <c r="I13" s="17">
        <f t="shared" si="1"/>
        <v>0.532207534050121</v>
      </c>
      <c r="J13" s="16">
        <f t="shared" si="2"/>
        <v>14.5194506346284</v>
      </c>
    </row>
    <row r="14" ht="15" customHeight="1" spans="1:10">
      <c r="A14" s="10" t="s">
        <v>22</v>
      </c>
      <c r="B14" s="11">
        <v>40487</v>
      </c>
      <c r="C14" s="11">
        <v>74822</v>
      </c>
      <c r="D14" s="12">
        <v>588896.78</v>
      </c>
      <c r="E14" s="12">
        <v>33818.83</v>
      </c>
      <c r="F14" s="13">
        <f t="shared" si="0"/>
        <v>0.0574274323591988</v>
      </c>
      <c r="G14" s="12">
        <v>555077.95</v>
      </c>
      <c r="H14" s="12">
        <v>308598.16</v>
      </c>
      <c r="I14" s="13">
        <f t="shared" si="1"/>
        <v>0.555954636641574</v>
      </c>
      <c r="J14" s="12">
        <f t="shared" si="2"/>
        <v>14.5453301059599</v>
      </c>
    </row>
    <row r="15" ht="15" customHeight="1" spans="1:10">
      <c r="A15" s="14" t="s">
        <v>23</v>
      </c>
      <c r="B15" s="15">
        <v>26084</v>
      </c>
      <c r="C15" s="15">
        <v>48446</v>
      </c>
      <c r="D15" s="16">
        <v>359844.59</v>
      </c>
      <c r="E15" s="16">
        <v>19450.58</v>
      </c>
      <c r="F15" s="17">
        <f t="shared" si="0"/>
        <v>0.0540527231491795</v>
      </c>
      <c r="G15" s="16">
        <v>340394.01</v>
      </c>
      <c r="H15" s="16">
        <v>189905.49</v>
      </c>
      <c r="I15" s="17">
        <f t="shared" si="1"/>
        <v>0.557899035884915</v>
      </c>
      <c r="J15" s="16">
        <f t="shared" si="2"/>
        <v>13.7956061186935</v>
      </c>
    </row>
    <row r="16" ht="15" customHeight="1" spans="1:10">
      <c r="A16" s="10" t="s">
        <v>24</v>
      </c>
      <c r="B16" s="11">
        <v>33955</v>
      </c>
      <c r="C16" s="11">
        <v>59094</v>
      </c>
      <c r="D16" s="12">
        <v>435901.8</v>
      </c>
      <c r="E16" s="12">
        <v>16084.3</v>
      </c>
      <c r="F16" s="13">
        <f t="shared" si="0"/>
        <v>0.036898907047413</v>
      </c>
      <c r="G16" s="12">
        <v>419817.5</v>
      </c>
      <c r="H16" s="12">
        <v>211956.54</v>
      </c>
      <c r="I16" s="13">
        <f t="shared" si="1"/>
        <v>0.504877810000774</v>
      </c>
      <c r="J16" s="12">
        <f t="shared" si="2"/>
        <v>12.837632160212</v>
      </c>
    </row>
    <row r="17" ht="15" customHeight="1" spans="1:10">
      <c r="A17" s="14" t="s">
        <v>25</v>
      </c>
      <c r="B17" s="15">
        <v>41719</v>
      </c>
      <c r="C17" s="15">
        <v>72284</v>
      </c>
      <c r="D17" s="16">
        <v>529207</v>
      </c>
      <c r="E17" s="16">
        <v>17968.98</v>
      </c>
      <c r="F17" s="17">
        <f t="shared" si="0"/>
        <v>0.0339545395280108</v>
      </c>
      <c r="G17" s="16">
        <v>511238.02</v>
      </c>
      <c r="H17" s="16">
        <v>257647.11</v>
      </c>
      <c r="I17" s="17">
        <f t="shared" si="1"/>
        <v>0.503967036723912</v>
      </c>
      <c r="J17" s="16">
        <f t="shared" si="2"/>
        <v>12.6850355952923</v>
      </c>
    </row>
    <row r="18" ht="15" customHeight="1" spans="1:10">
      <c r="A18" s="10" t="s">
        <v>26</v>
      </c>
      <c r="B18" s="11">
        <v>41953</v>
      </c>
      <c r="C18" s="11">
        <v>73569</v>
      </c>
      <c r="D18" s="12">
        <v>539920.3</v>
      </c>
      <c r="E18" s="12">
        <v>22022.43</v>
      </c>
      <c r="F18" s="13">
        <f t="shared" si="0"/>
        <v>0.0407882978284017</v>
      </c>
      <c r="G18" s="12">
        <v>517897.87</v>
      </c>
      <c r="H18" s="12">
        <v>260673.81</v>
      </c>
      <c r="I18" s="13">
        <f t="shared" si="1"/>
        <v>0.503330531172102</v>
      </c>
      <c r="J18" s="12">
        <f t="shared" si="2"/>
        <v>12.8696469859128</v>
      </c>
    </row>
    <row r="19" ht="15" spans="1:10">
      <c r="A19" s="14" t="s">
        <v>27</v>
      </c>
      <c r="B19" s="15">
        <v>46262</v>
      </c>
      <c r="C19" s="15">
        <v>78598</v>
      </c>
      <c r="D19" s="16">
        <v>560310.8</v>
      </c>
      <c r="E19" s="16">
        <v>21444.69</v>
      </c>
      <c r="F19" s="17">
        <f t="shared" si="0"/>
        <v>0.0382728478551547</v>
      </c>
      <c r="G19" s="16">
        <v>538866.11</v>
      </c>
      <c r="H19" s="16">
        <v>273590.76</v>
      </c>
      <c r="I19" s="17">
        <f t="shared" si="1"/>
        <v>0.507715655007512</v>
      </c>
      <c r="J19" s="16">
        <f t="shared" si="2"/>
        <v>12.1116856167049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I19" sqref="I19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8" width="11.6666666666667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817</v>
      </c>
      <c r="C2" s="11">
        <v>1469</v>
      </c>
      <c r="D2" s="12">
        <v>20742.3</v>
      </c>
      <c r="E2" s="12">
        <v>4017.78</v>
      </c>
      <c r="F2" s="13">
        <f t="shared" ref="F2:F19" si="0">IF(D2=0,"-",E2/D2)</f>
        <v>0.193699830780579</v>
      </c>
      <c r="G2" s="12">
        <v>16062.92</v>
      </c>
      <c r="H2" s="12">
        <v>661.6</v>
      </c>
      <c r="I2" s="12">
        <v>16724.52</v>
      </c>
      <c r="J2" s="12">
        <v>8716.05</v>
      </c>
      <c r="K2" s="13">
        <f t="shared" ref="K2:K19" si="1">IF(I2=0,"-",J2/I2)</f>
        <v>0.521153970338162</v>
      </c>
      <c r="L2" s="12">
        <f t="shared" ref="L2:L19" si="2">IF(B2=0,"-",D2/B2)</f>
        <v>25.3883720930233</v>
      </c>
    </row>
    <row r="3" ht="15" customHeight="1" spans="1:12">
      <c r="A3" s="14" t="s">
        <v>11</v>
      </c>
      <c r="B3" s="15">
        <v>588</v>
      </c>
      <c r="C3" s="15">
        <v>1045</v>
      </c>
      <c r="D3" s="16">
        <v>12316.9</v>
      </c>
      <c r="E3" s="16">
        <v>2337.02</v>
      </c>
      <c r="F3" s="17">
        <f t="shared" si="0"/>
        <v>0.189740925070432</v>
      </c>
      <c r="G3" s="16">
        <v>6214.32</v>
      </c>
      <c r="H3" s="16">
        <v>3765.56</v>
      </c>
      <c r="I3" s="16">
        <v>9979.88</v>
      </c>
      <c r="J3" s="16">
        <v>5021.33</v>
      </c>
      <c r="K3" s="17">
        <f t="shared" si="1"/>
        <v>0.503145328400742</v>
      </c>
      <c r="L3" s="16">
        <f t="shared" si="2"/>
        <v>20.9471088435374</v>
      </c>
    </row>
    <row r="4" ht="15" customHeight="1" spans="1:12">
      <c r="A4" s="10" t="s">
        <v>12</v>
      </c>
      <c r="B4" s="11">
        <v>1148</v>
      </c>
      <c r="C4" s="11">
        <v>2508</v>
      </c>
      <c r="D4" s="12">
        <v>28452.1</v>
      </c>
      <c r="E4" s="12">
        <v>5999.58</v>
      </c>
      <c r="F4" s="13">
        <f t="shared" si="0"/>
        <v>0.210865981772874</v>
      </c>
      <c r="G4" s="12">
        <v>13783.71</v>
      </c>
      <c r="H4" s="12">
        <v>7336.34</v>
      </c>
      <c r="I4" s="12">
        <v>22452.52</v>
      </c>
      <c r="J4" s="12">
        <v>10463.97</v>
      </c>
      <c r="K4" s="13">
        <f t="shared" si="1"/>
        <v>0.466048799867454</v>
      </c>
      <c r="L4" s="12">
        <f t="shared" si="2"/>
        <v>24.7840592334495</v>
      </c>
    </row>
    <row r="5" ht="15" customHeight="1" spans="1:12">
      <c r="A5" s="14" t="s">
        <v>13</v>
      </c>
      <c r="B5" s="15">
        <v>1212</v>
      </c>
      <c r="C5" s="15">
        <v>5642</v>
      </c>
      <c r="D5" s="16">
        <v>55283.3</v>
      </c>
      <c r="E5" s="16">
        <v>5891.09</v>
      </c>
      <c r="F5" s="17">
        <f t="shared" si="0"/>
        <v>0.106561836938099</v>
      </c>
      <c r="G5" s="16">
        <v>47545.4</v>
      </c>
      <c r="H5" s="16">
        <v>148.12</v>
      </c>
      <c r="I5" s="16">
        <v>49392.21</v>
      </c>
      <c r="J5" s="16">
        <v>23400.95</v>
      </c>
      <c r="K5" s="17">
        <f t="shared" si="1"/>
        <v>0.473778152465743</v>
      </c>
      <c r="L5" s="16">
        <f t="shared" si="2"/>
        <v>45.6132838283828</v>
      </c>
    </row>
    <row r="6" ht="15" customHeight="1" spans="1:12">
      <c r="A6" s="10" t="s">
        <v>14</v>
      </c>
      <c r="B6" s="11">
        <v>901</v>
      </c>
      <c r="C6" s="11">
        <v>7595</v>
      </c>
      <c r="D6" s="12">
        <v>70321.6</v>
      </c>
      <c r="E6" s="12">
        <v>5152.62</v>
      </c>
      <c r="F6" s="13">
        <f t="shared" si="0"/>
        <v>0.0732722236126595</v>
      </c>
      <c r="G6" s="12">
        <v>63898.87</v>
      </c>
      <c r="H6" s="12">
        <v>115.8</v>
      </c>
      <c r="I6" s="12">
        <v>65168.98</v>
      </c>
      <c r="J6" s="12">
        <v>30854.41</v>
      </c>
      <c r="K6" s="13">
        <f t="shared" si="1"/>
        <v>0.473452400206356</v>
      </c>
      <c r="L6" s="12">
        <f t="shared" si="2"/>
        <v>78.0483906770255</v>
      </c>
    </row>
    <row r="7" ht="15" customHeight="1" spans="1:12">
      <c r="A7" s="14" t="s">
        <v>15</v>
      </c>
      <c r="B7" s="15">
        <v>740</v>
      </c>
      <c r="C7" s="15">
        <v>6661</v>
      </c>
      <c r="D7" s="16">
        <v>62946</v>
      </c>
      <c r="E7" s="16">
        <v>8009.67</v>
      </c>
      <c r="F7" s="17">
        <f t="shared" si="0"/>
        <v>0.127246687637022</v>
      </c>
      <c r="G7" s="16">
        <v>53503.33</v>
      </c>
      <c r="H7" s="16">
        <v>0</v>
      </c>
      <c r="I7" s="16">
        <v>54936.33</v>
      </c>
      <c r="J7" s="16">
        <v>24917.96</v>
      </c>
      <c r="K7" s="17">
        <f t="shared" si="1"/>
        <v>0.453578897607467</v>
      </c>
      <c r="L7" s="16">
        <f t="shared" si="2"/>
        <v>85.0621621621622</v>
      </c>
    </row>
    <row r="8" ht="15" customHeight="1" spans="1:12">
      <c r="A8" s="10" t="s">
        <v>16</v>
      </c>
      <c r="B8" s="11">
        <v>851</v>
      </c>
      <c r="C8" s="11">
        <v>9233</v>
      </c>
      <c r="D8" s="12">
        <v>85145.6</v>
      </c>
      <c r="E8" s="12">
        <v>7806.01</v>
      </c>
      <c r="F8" s="13">
        <f t="shared" si="0"/>
        <v>0.0916783721061335</v>
      </c>
      <c r="G8" s="12">
        <v>75964.89</v>
      </c>
      <c r="H8" s="12">
        <v>0</v>
      </c>
      <c r="I8" s="12">
        <v>77339.59</v>
      </c>
      <c r="J8" s="12">
        <v>34515.78</v>
      </c>
      <c r="K8" s="13">
        <f t="shared" si="1"/>
        <v>0.446288634320404</v>
      </c>
      <c r="L8" s="12">
        <f t="shared" si="2"/>
        <v>100.053584018801</v>
      </c>
    </row>
    <row r="9" ht="15" customHeight="1" spans="1:12">
      <c r="A9" s="14" t="s">
        <v>17</v>
      </c>
      <c r="B9" s="15">
        <v>1129</v>
      </c>
      <c r="C9" s="15">
        <v>10239</v>
      </c>
      <c r="D9" s="16">
        <v>92071</v>
      </c>
      <c r="E9" s="16">
        <v>5999.27</v>
      </c>
      <c r="F9" s="17">
        <f t="shared" si="0"/>
        <v>0.0651591706400495</v>
      </c>
      <c r="G9" s="16">
        <v>84868.03</v>
      </c>
      <c r="H9" s="16">
        <v>0</v>
      </c>
      <c r="I9" s="16">
        <v>86071.73</v>
      </c>
      <c r="J9" s="16">
        <v>39991.93</v>
      </c>
      <c r="K9" s="17">
        <f t="shared" si="1"/>
        <v>0.464634903934195</v>
      </c>
      <c r="L9" s="16">
        <f t="shared" si="2"/>
        <v>81.5509300265722</v>
      </c>
    </row>
    <row r="10" ht="15" customHeight="1" spans="1:12">
      <c r="A10" s="10" t="s">
        <v>18</v>
      </c>
      <c r="B10" s="11">
        <v>1205</v>
      </c>
      <c r="C10" s="11">
        <v>9478</v>
      </c>
      <c r="D10" s="12">
        <v>78906.4</v>
      </c>
      <c r="E10" s="12">
        <v>4853.32</v>
      </c>
      <c r="F10" s="13">
        <f t="shared" si="0"/>
        <v>0.0615073048574007</v>
      </c>
      <c r="G10" s="12">
        <v>70699.69</v>
      </c>
      <c r="H10" s="12">
        <v>955.19</v>
      </c>
      <c r="I10" s="12">
        <v>74053.08</v>
      </c>
      <c r="J10" s="12">
        <v>37369.53</v>
      </c>
      <c r="K10" s="13">
        <f t="shared" si="1"/>
        <v>0.504631677710097</v>
      </c>
      <c r="L10" s="12">
        <f t="shared" si="2"/>
        <v>65.482489626556</v>
      </c>
    </row>
    <row r="11" ht="15" customHeight="1" spans="1:12">
      <c r="A11" s="14" t="s">
        <v>19</v>
      </c>
      <c r="B11" s="15">
        <v>5048</v>
      </c>
      <c r="C11" s="15">
        <v>20415</v>
      </c>
      <c r="D11" s="16">
        <v>160384.8</v>
      </c>
      <c r="E11" s="16">
        <v>6032.23</v>
      </c>
      <c r="F11" s="17">
        <f t="shared" si="0"/>
        <v>0.0376109830856789</v>
      </c>
      <c r="G11" s="16">
        <v>104899.93</v>
      </c>
      <c r="H11" s="16">
        <v>45799.66</v>
      </c>
      <c r="I11" s="16">
        <v>154352.57</v>
      </c>
      <c r="J11" s="16">
        <v>81344.03</v>
      </c>
      <c r="K11" s="17">
        <f t="shared" si="1"/>
        <v>0.527001461653667</v>
      </c>
      <c r="L11" s="16">
        <f t="shared" si="2"/>
        <v>31.7719492868463</v>
      </c>
    </row>
    <row r="12" ht="15" customHeight="1" spans="1:12">
      <c r="A12" s="10" t="s">
        <v>20</v>
      </c>
      <c r="B12" s="11">
        <v>6447</v>
      </c>
      <c r="C12" s="11">
        <v>11514</v>
      </c>
      <c r="D12" s="12">
        <v>91936.1</v>
      </c>
      <c r="E12" s="12">
        <v>4161.74</v>
      </c>
      <c r="F12" s="13">
        <f t="shared" si="0"/>
        <v>0.0452677457494934</v>
      </c>
      <c r="G12" s="12">
        <v>12656.84</v>
      </c>
      <c r="H12" s="12">
        <v>73158.75</v>
      </c>
      <c r="I12" s="12">
        <v>87774.36</v>
      </c>
      <c r="J12" s="12">
        <v>48548.08</v>
      </c>
      <c r="K12" s="13">
        <f t="shared" si="1"/>
        <v>0.55310092833488</v>
      </c>
      <c r="L12" s="12">
        <f t="shared" si="2"/>
        <v>14.2602916085001</v>
      </c>
    </row>
    <row r="13" ht="15" customHeight="1" spans="1:12">
      <c r="A13" s="14" t="s">
        <v>21</v>
      </c>
      <c r="B13" s="15">
        <v>9281</v>
      </c>
      <c r="C13" s="15">
        <v>16894</v>
      </c>
      <c r="D13" s="16">
        <v>135391.6</v>
      </c>
      <c r="E13" s="16">
        <v>3842.77</v>
      </c>
      <c r="F13" s="17">
        <f t="shared" si="0"/>
        <v>0.0283826323051061</v>
      </c>
      <c r="G13" s="16">
        <v>12389.84</v>
      </c>
      <c r="H13" s="16">
        <v>118293.49</v>
      </c>
      <c r="I13" s="16">
        <v>131548.83</v>
      </c>
      <c r="J13" s="16">
        <v>71590.07</v>
      </c>
      <c r="K13" s="17">
        <f t="shared" si="1"/>
        <v>0.544209097108656</v>
      </c>
      <c r="L13" s="16">
        <f t="shared" si="2"/>
        <v>14.5880400818877</v>
      </c>
    </row>
    <row r="14" ht="15" customHeight="1" spans="1:12">
      <c r="A14" s="10" t="s">
        <v>22</v>
      </c>
      <c r="B14" s="11">
        <v>13221</v>
      </c>
      <c r="C14" s="11">
        <v>26272</v>
      </c>
      <c r="D14" s="12">
        <v>207599.3</v>
      </c>
      <c r="E14" s="12">
        <v>13505.28</v>
      </c>
      <c r="F14" s="13">
        <f t="shared" si="0"/>
        <v>0.0650545546155502</v>
      </c>
      <c r="G14" s="12">
        <v>10110.46</v>
      </c>
      <c r="H14" s="12">
        <v>183578.36</v>
      </c>
      <c r="I14" s="12">
        <v>194094.02</v>
      </c>
      <c r="J14" s="12">
        <v>110225.54</v>
      </c>
      <c r="K14" s="13">
        <f t="shared" si="1"/>
        <v>0.567897661143811</v>
      </c>
      <c r="L14" s="12">
        <f t="shared" si="2"/>
        <v>15.7022388624159</v>
      </c>
    </row>
    <row r="15" ht="15" customHeight="1" spans="1:12">
      <c r="A15" s="14" t="s">
        <v>23</v>
      </c>
      <c r="B15" s="15">
        <v>13401</v>
      </c>
      <c r="C15" s="15">
        <v>25927</v>
      </c>
      <c r="D15" s="16">
        <v>191028.1</v>
      </c>
      <c r="E15" s="16">
        <v>13193.36</v>
      </c>
      <c r="F15" s="17">
        <f t="shared" si="0"/>
        <v>0.0690650223710543</v>
      </c>
      <c r="G15" s="16">
        <v>7777.3</v>
      </c>
      <c r="H15" s="16">
        <v>169844.44</v>
      </c>
      <c r="I15" s="16">
        <v>177834.74</v>
      </c>
      <c r="J15" s="16">
        <v>99118.94</v>
      </c>
      <c r="K15" s="17">
        <f t="shared" si="1"/>
        <v>0.557365450642546</v>
      </c>
      <c r="L15" s="16">
        <f t="shared" si="2"/>
        <v>14.2547645698082</v>
      </c>
    </row>
    <row r="16" ht="15" customHeight="1" spans="1:12">
      <c r="A16" s="10" t="s">
        <v>24</v>
      </c>
      <c r="B16" s="11">
        <v>8789</v>
      </c>
      <c r="C16" s="11">
        <v>16477</v>
      </c>
      <c r="D16" s="12">
        <v>111043.1</v>
      </c>
      <c r="E16" s="12">
        <v>1813.25</v>
      </c>
      <c r="F16" s="13">
        <f t="shared" si="0"/>
        <v>0.0163292451309447</v>
      </c>
      <c r="G16" s="12">
        <v>55612.26</v>
      </c>
      <c r="H16" s="12">
        <v>53205.69</v>
      </c>
      <c r="I16" s="12">
        <v>109229.85</v>
      </c>
      <c r="J16" s="12">
        <v>53596.87</v>
      </c>
      <c r="K16" s="13">
        <f t="shared" si="1"/>
        <v>0.490679699734093</v>
      </c>
      <c r="L16" s="12">
        <f t="shared" si="2"/>
        <v>12.6343269996587</v>
      </c>
    </row>
    <row r="17" ht="15" customHeight="1" spans="1:12">
      <c r="A17" s="14" t="s">
        <v>25</v>
      </c>
      <c r="B17" s="15">
        <v>14597</v>
      </c>
      <c r="C17" s="15">
        <v>27209</v>
      </c>
      <c r="D17" s="16">
        <v>185320.5</v>
      </c>
      <c r="E17" s="16">
        <v>3077.46</v>
      </c>
      <c r="F17" s="17">
        <f t="shared" si="0"/>
        <v>0.0166061498862781</v>
      </c>
      <c r="G17" s="16">
        <v>171845.44</v>
      </c>
      <c r="H17" s="16">
        <v>10159.4</v>
      </c>
      <c r="I17" s="16">
        <v>182243.04</v>
      </c>
      <c r="J17" s="16">
        <v>88468.62</v>
      </c>
      <c r="K17" s="17">
        <f t="shared" si="1"/>
        <v>0.485443065480031</v>
      </c>
      <c r="L17" s="16">
        <f t="shared" si="2"/>
        <v>12.6957936562307</v>
      </c>
    </row>
    <row r="18" ht="15" customHeight="1" spans="1:12">
      <c r="A18" s="10" t="s">
        <v>26</v>
      </c>
      <c r="B18" s="11">
        <v>13692</v>
      </c>
      <c r="C18" s="11">
        <v>26666</v>
      </c>
      <c r="D18" s="12">
        <v>187321.6</v>
      </c>
      <c r="E18" s="12">
        <v>4520.56</v>
      </c>
      <c r="F18" s="13">
        <f t="shared" si="0"/>
        <v>0.0241326147118111</v>
      </c>
      <c r="G18" s="12">
        <v>172898.56</v>
      </c>
      <c r="H18" s="12">
        <v>9731.18</v>
      </c>
      <c r="I18" s="12">
        <v>182801.04</v>
      </c>
      <c r="J18" s="12">
        <v>89629.59</v>
      </c>
      <c r="K18" s="13">
        <f t="shared" si="1"/>
        <v>0.490312254241004</v>
      </c>
      <c r="L18" s="12">
        <f t="shared" si="2"/>
        <v>13.6810984516506</v>
      </c>
    </row>
    <row r="19" ht="15" spans="1:12">
      <c r="A19" s="14" t="s">
        <v>27</v>
      </c>
      <c r="B19" s="15">
        <v>15858</v>
      </c>
      <c r="C19" s="15">
        <v>28615</v>
      </c>
      <c r="D19" s="16">
        <v>192634.9</v>
      </c>
      <c r="E19" s="16">
        <v>3895.95</v>
      </c>
      <c r="F19" s="17">
        <f t="shared" si="0"/>
        <v>0.0202245283694699</v>
      </c>
      <c r="G19" s="16">
        <v>178012.77</v>
      </c>
      <c r="H19" s="16">
        <v>10175.08</v>
      </c>
      <c r="I19" s="16">
        <v>188738.95</v>
      </c>
      <c r="J19" s="16">
        <v>93796.82</v>
      </c>
      <c r="K19" s="17">
        <f t="shared" si="1"/>
        <v>0.496965888599041</v>
      </c>
      <c r="L19" s="16">
        <f t="shared" si="2"/>
        <v>12.1474902257536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2">
        <v>0</v>
      </c>
      <c r="C2" s="12">
        <v>0</v>
      </c>
      <c r="D2" s="12">
        <v>0</v>
      </c>
      <c r="E2" s="12">
        <v>0</v>
      </c>
      <c r="F2" s="13" t="str">
        <f t="shared" ref="F2:F19" si="0">IF(D2=0,"-",E2/D2)</f>
        <v>-</v>
      </c>
      <c r="G2" s="12">
        <v>0</v>
      </c>
      <c r="H2" s="12">
        <v>0</v>
      </c>
      <c r="I2" s="12">
        <v>0</v>
      </c>
      <c r="J2" s="12" t="str">
        <f>IF(I2=0,"-",I2-0)</f>
        <v>-</v>
      </c>
      <c r="K2" s="13" t="str">
        <f t="shared" ref="K2:K19" si="1">IF(I2=0,"-",J2/I2)</f>
        <v>-</v>
      </c>
      <c r="L2" s="12" t="str">
        <f t="shared" ref="L2:L19" si="2">IF(B2=0,"-",D2/B2)</f>
        <v>-</v>
      </c>
    </row>
    <row r="3" ht="15" customHeight="1" spans="1:12">
      <c r="A3" s="14" t="s">
        <v>11</v>
      </c>
      <c r="B3" s="16">
        <v>0</v>
      </c>
      <c r="C3" s="16">
        <v>0</v>
      </c>
      <c r="D3" s="16">
        <v>0</v>
      </c>
      <c r="E3" s="16">
        <v>0</v>
      </c>
      <c r="F3" s="17" t="str">
        <f t="shared" si="0"/>
        <v>-</v>
      </c>
      <c r="G3" s="16">
        <v>0</v>
      </c>
      <c r="H3" s="16">
        <v>0</v>
      </c>
      <c r="I3" s="16">
        <v>0</v>
      </c>
      <c r="J3" s="16" t="str">
        <f>IF(I3=0,"-",I3-0)</f>
        <v>-</v>
      </c>
      <c r="K3" s="17" t="str">
        <f t="shared" si="1"/>
        <v>-</v>
      </c>
      <c r="L3" s="16" t="str">
        <f t="shared" si="2"/>
        <v>-</v>
      </c>
    </row>
    <row r="4" ht="15" customHeight="1" spans="1:12">
      <c r="A4" s="10" t="s">
        <v>12</v>
      </c>
      <c r="B4" s="11">
        <v>2056</v>
      </c>
      <c r="C4" s="11">
        <v>3306</v>
      </c>
      <c r="D4" s="12">
        <v>37201.1</v>
      </c>
      <c r="E4" s="12">
        <v>6417.47</v>
      </c>
      <c r="F4" s="13">
        <f t="shared" si="0"/>
        <v>0.172507533379389</v>
      </c>
      <c r="G4" s="12">
        <v>26977.93</v>
      </c>
      <c r="H4" s="12">
        <v>0</v>
      </c>
      <c r="I4" s="12">
        <v>30783.63</v>
      </c>
      <c r="J4" s="12">
        <v>14817.22</v>
      </c>
      <c r="K4" s="13">
        <f t="shared" si="1"/>
        <v>0.481334397535313</v>
      </c>
      <c r="L4" s="12">
        <f t="shared" si="2"/>
        <v>18.093920233463</v>
      </c>
    </row>
    <row r="5" ht="15" customHeight="1" spans="1:12">
      <c r="A5" s="14" t="s">
        <v>13</v>
      </c>
      <c r="B5" s="15">
        <v>5232</v>
      </c>
      <c r="C5" s="15">
        <v>9173</v>
      </c>
      <c r="D5" s="16">
        <v>93910.8</v>
      </c>
      <c r="E5" s="16">
        <v>6717.95</v>
      </c>
      <c r="F5" s="17">
        <f t="shared" si="0"/>
        <v>0.0715354357539282</v>
      </c>
      <c r="G5" s="16">
        <v>80864.54</v>
      </c>
      <c r="H5" s="16">
        <v>4126.91</v>
      </c>
      <c r="I5" s="16">
        <v>87192.85</v>
      </c>
      <c r="J5" s="16">
        <v>42909.63</v>
      </c>
      <c r="K5" s="17">
        <f t="shared" si="1"/>
        <v>0.492123264694295</v>
      </c>
      <c r="L5" s="16">
        <f t="shared" si="2"/>
        <v>17.9493119266055</v>
      </c>
    </row>
    <row r="6" ht="15" customHeight="1" spans="1:12">
      <c r="A6" s="10" t="s">
        <v>14</v>
      </c>
      <c r="B6" s="11">
        <v>5856</v>
      </c>
      <c r="C6" s="11">
        <v>10257</v>
      </c>
      <c r="D6" s="12">
        <v>104862.4</v>
      </c>
      <c r="E6" s="12">
        <v>13213.29</v>
      </c>
      <c r="F6" s="13">
        <f t="shared" si="0"/>
        <v>0.126005984986039</v>
      </c>
      <c r="G6" s="12">
        <v>77375.11</v>
      </c>
      <c r="H6" s="12">
        <v>11146.65</v>
      </c>
      <c r="I6" s="12">
        <v>91649.11</v>
      </c>
      <c r="J6" s="12">
        <v>43705.37</v>
      </c>
      <c r="K6" s="13">
        <f t="shared" si="1"/>
        <v>0.476877189532992</v>
      </c>
      <c r="L6" s="12">
        <f t="shared" si="2"/>
        <v>17.9068306010929</v>
      </c>
    </row>
    <row r="7" ht="15" customHeight="1" spans="1:12">
      <c r="A7" s="14" t="s">
        <v>15</v>
      </c>
      <c r="B7" s="15">
        <v>5379</v>
      </c>
      <c r="C7" s="15">
        <v>9168</v>
      </c>
      <c r="D7" s="16">
        <v>85394.4</v>
      </c>
      <c r="E7" s="16">
        <v>6753.4</v>
      </c>
      <c r="F7" s="17">
        <f t="shared" si="0"/>
        <v>0.0790848111819979</v>
      </c>
      <c r="G7" s="16">
        <v>63933.3</v>
      </c>
      <c r="H7" s="16">
        <v>11881.3</v>
      </c>
      <c r="I7" s="16">
        <v>78641</v>
      </c>
      <c r="J7" s="16">
        <v>37473.01</v>
      </c>
      <c r="K7" s="17">
        <f t="shared" si="1"/>
        <v>0.476507292633614</v>
      </c>
      <c r="L7" s="16">
        <f t="shared" si="2"/>
        <v>15.8755158951478</v>
      </c>
    </row>
    <row r="8" ht="15" customHeight="1" spans="1:12">
      <c r="A8" s="10" t="s">
        <v>16</v>
      </c>
      <c r="B8" s="11">
        <v>6536</v>
      </c>
      <c r="C8" s="11">
        <v>11871</v>
      </c>
      <c r="D8" s="12">
        <v>105815.1</v>
      </c>
      <c r="E8" s="12">
        <v>7743.71</v>
      </c>
      <c r="F8" s="13">
        <f t="shared" si="0"/>
        <v>0.0731815213518675</v>
      </c>
      <c r="G8" s="12">
        <v>78496.91</v>
      </c>
      <c r="H8" s="12">
        <v>16707.38</v>
      </c>
      <c r="I8" s="12">
        <v>98071.39</v>
      </c>
      <c r="J8" s="12">
        <v>44976.46</v>
      </c>
      <c r="K8" s="13">
        <f t="shared" si="1"/>
        <v>0.458609386488761</v>
      </c>
      <c r="L8" s="12">
        <f t="shared" si="2"/>
        <v>16.1895807833537</v>
      </c>
    </row>
    <row r="9" ht="15" customHeight="1" spans="1:12">
      <c r="A9" s="14" t="s">
        <v>17</v>
      </c>
      <c r="B9" s="15">
        <v>6349</v>
      </c>
      <c r="C9" s="15">
        <v>12180</v>
      </c>
      <c r="D9" s="16">
        <v>102347.9</v>
      </c>
      <c r="E9" s="16">
        <v>8034.56</v>
      </c>
      <c r="F9" s="17">
        <f t="shared" si="0"/>
        <v>0.0785024411834537</v>
      </c>
      <c r="G9" s="16">
        <v>79421.56</v>
      </c>
      <c r="H9" s="16">
        <v>13066.96</v>
      </c>
      <c r="I9" s="16">
        <v>94313.34</v>
      </c>
      <c r="J9" s="16">
        <v>43334.58</v>
      </c>
      <c r="K9" s="17">
        <f t="shared" si="1"/>
        <v>0.45947455577334</v>
      </c>
      <c r="L9" s="16">
        <f t="shared" si="2"/>
        <v>16.1203181603402</v>
      </c>
    </row>
    <row r="10" ht="15" customHeight="1" spans="1:12">
      <c r="A10" s="10" t="s">
        <v>18</v>
      </c>
      <c r="B10" s="11">
        <v>5361</v>
      </c>
      <c r="C10" s="11">
        <v>9734</v>
      </c>
      <c r="D10" s="12">
        <v>81103.8</v>
      </c>
      <c r="E10" s="12">
        <v>4609.21</v>
      </c>
      <c r="F10" s="13">
        <f t="shared" si="0"/>
        <v>0.056830999287333</v>
      </c>
      <c r="G10" s="12">
        <v>64525.12</v>
      </c>
      <c r="H10" s="12">
        <v>10416.55</v>
      </c>
      <c r="I10" s="12">
        <v>76494.59</v>
      </c>
      <c r="J10" s="12">
        <v>38017.09</v>
      </c>
      <c r="K10" s="13">
        <f t="shared" si="1"/>
        <v>0.496990571490088</v>
      </c>
      <c r="L10" s="12">
        <f t="shared" si="2"/>
        <v>15.1284834918858</v>
      </c>
    </row>
    <row r="11" ht="15" customHeight="1" spans="1:12">
      <c r="A11" s="14" t="s">
        <v>19</v>
      </c>
      <c r="B11" s="15">
        <v>6275</v>
      </c>
      <c r="C11" s="15">
        <v>10962</v>
      </c>
      <c r="D11" s="16">
        <v>92920.3</v>
      </c>
      <c r="E11" s="16">
        <v>4513.76</v>
      </c>
      <c r="F11" s="17">
        <f t="shared" si="0"/>
        <v>0.0485766834588352</v>
      </c>
      <c r="G11" s="16">
        <v>76163.3</v>
      </c>
      <c r="H11" s="16">
        <v>10920.02</v>
      </c>
      <c r="I11" s="16">
        <v>88406.54</v>
      </c>
      <c r="J11" s="16">
        <v>45761.13</v>
      </c>
      <c r="K11" s="17">
        <f t="shared" si="1"/>
        <v>0.517621547003197</v>
      </c>
      <c r="L11" s="16">
        <f t="shared" si="2"/>
        <v>14.808015936255</v>
      </c>
    </row>
    <row r="12" ht="15" customHeight="1" spans="1:12">
      <c r="A12" s="10" t="s">
        <v>20</v>
      </c>
      <c r="B12" s="11">
        <v>6584</v>
      </c>
      <c r="C12" s="11">
        <v>11041</v>
      </c>
      <c r="D12" s="12">
        <v>95895.9</v>
      </c>
      <c r="E12" s="12">
        <v>4301.25</v>
      </c>
      <c r="F12" s="13">
        <f t="shared" si="0"/>
        <v>0.0448533253246489</v>
      </c>
      <c r="G12" s="12">
        <v>79436.41</v>
      </c>
      <c r="H12" s="12">
        <v>11102.34</v>
      </c>
      <c r="I12" s="12">
        <v>91594.65</v>
      </c>
      <c r="J12" s="12">
        <v>48855.78</v>
      </c>
      <c r="K12" s="13">
        <f t="shared" si="1"/>
        <v>0.533391196974933</v>
      </c>
      <c r="L12" s="12">
        <f t="shared" si="2"/>
        <v>14.5649908869988</v>
      </c>
    </row>
    <row r="13" ht="15" customHeight="1" spans="1:12">
      <c r="A13" s="14" t="s">
        <v>21</v>
      </c>
      <c r="B13" s="15">
        <v>7467</v>
      </c>
      <c r="C13" s="15">
        <v>12864</v>
      </c>
      <c r="D13" s="16">
        <v>111312.7</v>
      </c>
      <c r="E13" s="16">
        <v>5233.18</v>
      </c>
      <c r="F13" s="17">
        <f t="shared" si="0"/>
        <v>0.0470133237267625</v>
      </c>
      <c r="G13" s="16">
        <v>91136.53</v>
      </c>
      <c r="H13" s="16">
        <v>13810.69</v>
      </c>
      <c r="I13" s="16">
        <v>106079.52</v>
      </c>
      <c r="J13" s="16">
        <v>56515.32</v>
      </c>
      <c r="K13" s="17">
        <f t="shared" si="1"/>
        <v>0.532763722912773</v>
      </c>
      <c r="L13" s="16">
        <f t="shared" si="2"/>
        <v>14.9072853890451</v>
      </c>
    </row>
    <row r="14" ht="15" customHeight="1" spans="1:12">
      <c r="A14" s="10" t="s">
        <v>22</v>
      </c>
      <c r="B14" s="11">
        <v>7033</v>
      </c>
      <c r="C14" s="11">
        <v>12249</v>
      </c>
      <c r="D14" s="12">
        <v>100373.1</v>
      </c>
      <c r="E14" s="12">
        <v>3685.28</v>
      </c>
      <c r="F14" s="13">
        <f t="shared" si="0"/>
        <v>0.0367158133005756</v>
      </c>
      <c r="G14" s="12">
        <v>84935.53</v>
      </c>
      <c r="H14" s="12">
        <v>11311.59</v>
      </c>
      <c r="I14" s="12">
        <v>96687.82</v>
      </c>
      <c r="J14" s="12">
        <v>53808.52</v>
      </c>
      <c r="K14" s="13">
        <f t="shared" si="1"/>
        <v>0.556518080560716</v>
      </c>
      <c r="L14" s="12">
        <f t="shared" si="2"/>
        <v>14.2717332575004</v>
      </c>
    </row>
    <row r="15" ht="15" customHeight="1" spans="1:12">
      <c r="A15" s="14" t="s">
        <v>23</v>
      </c>
      <c r="B15" s="15">
        <v>3510</v>
      </c>
      <c r="C15" s="15">
        <v>6248</v>
      </c>
      <c r="D15" s="16">
        <v>47929.9</v>
      </c>
      <c r="E15" s="16">
        <v>1532.9</v>
      </c>
      <c r="F15" s="17">
        <f t="shared" si="0"/>
        <v>0.031982123893436</v>
      </c>
      <c r="G15" s="16">
        <v>43608.4</v>
      </c>
      <c r="H15" s="16">
        <v>2721.7</v>
      </c>
      <c r="I15" s="16">
        <v>46397</v>
      </c>
      <c r="J15" s="16">
        <v>25681.31</v>
      </c>
      <c r="K15" s="17">
        <f t="shared" si="1"/>
        <v>0.553512296053624</v>
      </c>
      <c r="L15" s="16">
        <f t="shared" si="2"/>
        <v>13.6552421652422</v>
      </c>
    </row>
    <row r="16" ht="15" customHeight="1" spans="1:12">
      <c r="A16" s="10" t="s">
        <v>24</v>
      </c>
      <c r="B16" s="11">
        <v>6779</v>
      </c>
      <c r="C16" s="11">
        <v>11134</v>
      </c>
      <c r="D16" s="12">
        <v>87843.2</v>
      </c>
      <c r="E16" s="12">
        <v>2623.83</v>
      </c>
      <c r="F16" s="13">
        <f t="shared" si="0"/>
        <v>0.0298694719682343</v>
      </c>
      <c r="G16" s="12">
        <v>74475.91</v>
      </c>
      <c r="H16" s="12">
        <v>10267.26</v>
      </c>
      <c r="I16" s="12">
        <v>85219.37</v>
      </c>
      <c r="J16" s="12">
        <v>44045.54</v>
      </c>
      <c r="K16" s="13">
        <f t="shared" si="1"/>
        <v>0.516848927655767</v>
      </c>
      <c r="L16" s="12">
        <f t="shared" si="2"/>
        <v>12.9581354182033</v>
      </c>
    </row>
    <row r="17" ht="15" customHeight="1" spans="1:12">
      <c r="A17" s="14" t="s">
        <v>25</v>
      </c>
      <c r="B17" s="15">
        <v>6839</v>
      </c>
      <c r="C17" s="15">
        <v>11173</v>
      </c>
      <c r="D17" s="16">
        <v>87987.4</v>
      </c>
      <c r="E17" s="16">
        <v>3242.91</v>
      </c>
      <c r="F17" s="17">
        <f t="shared" si="0"/>
        <v>0.0368565271845742</v>
      </c>
      <c r="G17" s="16">
        <v>71064.15</v>
      </c>
      <c r="H17" s="16">
        <v>13190.94</v>
      </c>
      <c r="I17" s="16">
        <v>84744.49</v>
      </c>
      <c r="J17" s="16">
        <v>44190.17</v>
      </c>
      <c r="K17" s="17">
        <f t="shared" si="1"/>
        <v>0.52145183716369</v>
      </c>
      <c r="L17" s="16">
        <f t="shared" si="2"/>
        <v>12.865535897061</v>
      </c>
    </row>
    <row r="18" ht="15" customHeight="1" spans="1:12">
      <c r="A18" s="10" t="s">
        <v>26</v>
      </c>
      <c r="B18" s="11">
        <v>6982</v>
      </c>
      <c r="C18" s="11">
        <v>11590</v>
      </c>
      <c r="D18" s="12">
        <v>91645.8</v>
      </c>
      <c r="E18" s="12">
        <v>4476.92</v>
      </c>
      <c r="F18" s="13">
        <f t="shared" si="0"/>
        <v>0.0488502473654003</v>
      </c>
      <c r="G18" s="12">
        <v>70471.45</v>
      </c>
      <c r="H18" s="12">
        <v>16117.51</v>
      </c>
      <c r="I18" s="12">
        <v>87168.88</v>
      </c>
      <c r="J18" s="12">
        <v>44932.54</v>
      </c>
      <c r="K18" s="13">
        <f t="shared" si="1"/>
        <v>0.515465381682087</v>
      </c>
      <c r="L18" s="12">
        <f t="shared" si="2"/>
        <v>13.1260097393297</v>
      </c>
    </row>
    <row r="19" ht="15" spans="1:12">
      <c r="A19" s="14" t="s">
        <v>27</v>
      </c>
      <c r="B19" s="15">
        <v>6749</v>
      </c>
      <c r="C19" s="15">
        <v>10697</v>
      </c>
      <c r="D19" s="16">
        <v>82997.5</v>
      </c>
      <c r="E19" s="16">
        <v>2417.01</v>
      </c>
      <c r="F19" s="17">
        <f t="shared" si="0"/>
        <v>0.0291214795626374</v>
      </c>
      <c r="G19" s="16">
        <v>66099.28</v>
      </c>
      <c r="H19" s="16">
        <v>13530.56</v>
      </c>
      <c r="I19" s="16">
        <v>80580.49</v>
      </c>
      <c r="J19" s="16">
        <v>42071.94</v>
      </c>
      <c r="K19" s="17">
        <f t="shared" si="1"/>
        <v>0.522110749140394</v>
      </c>
      <c r="L19" s="16">
        <f t="shared" si="2"/>
        <v>12.297747814491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H29" sqref="H29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8" width="10.4444444444444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1065</v>
      </c>
      <c r="C2" s="11">
        <v>1619</v>
      </c>
      <c r="D2" s="12">
        <v>18900.8</v>
      </c>
      <c r="E2" s="12">
        <v>2582.45</v>
      </c>
      <c r="F2" s="13">
        <f t="shared" ref="F2:F19" si="0">IF(D2=0,"-",E2/D2)</f>
        <v>0.136631782781681</v>
      </c>
      <c r="G2" s="12">
        <v>14818.86</v>
      </c>
      <c r="H2" s="12">
        <v>1499.49</v>
      </c>
      <c r="I2" s="12">
        <v>16318.35</v>
      </c>
      <c r="J2" s="12">
        <v>8050.07</v>
      </c>
      <c r="K2" s="13">
        <f t="shared" ref="K2:K19" si="1">IF(I2=0,"-",J2/I2)</f>
        <v>0.493313968630407</v>
      </c>
      <c r="L2" s="12">
        <f t="shared" ref="L2:L19" si="2">IF(B2=0,"-",D2/B2)</f>
        <v>17.7472300469484</v>
      </c>
    </row>
    <row r="3" ht="15" customHeight="1" spans="1:12">
      <c r="A3" s="14" t="s">
        <v>11</v>
      </c>
      <c r="B3" s="15">
        <v>889</v>
      </c>
      <c r="C3" s="15">
        <v>1534</v>
      </c>
      <c r="D3" s="16">
        <v>15604.8</v>
      </c>
      <c r="E3" s="16">
        <v>2181.35</v>
      </c>
      <c r="F3" s="17">
        <f t="shared" si="0"/>
        <v>0.139787116784579</v>
      </c>
      <c r="G3" s="16">
        <v>13064.35</v>
      </c>
      <c r="H3" s="16">
        <v>359.1</v>
      </c>
      <c r="I3" s="16">
        <v>13423.45</v>
      </c>
      <c r="J3" s="16">
        <v>6264.59</v>
      </c>
      <c r="K3" s="17">
        <f t="shared" si="1"/>
        <v>0.466690008902331</v>
      </c>
      <c r="L3" s="16">
        <f t="shared" si="2"/>
        <v>17.5532058492688</v>
      </c>
    </row>
    <row r="4" ht="15" customHeight="1" spans="1:12">
      <c r="A4" s="10" t="s">
        <v>12</v>
      </c>
      <c r="B4" s="11">
        <v>1436</v>
      </c>
      <c r="C4" s="11">
        <v>2630</v>
      </c>
      <c r="D4" s="12">
        <v>25926.5</v>
      </c>
      <c r="E4" s="12">
        <v>5023.53</v>
      </c>
      <c r="F4" s="13">
        <f t="shared" si="0"/>
        <v>0.193760438161726</v>
      </c>
      <c r="G4" s="12">
        <v>20088.87</v>
      </c>
      <c r="H4" s="12">
        <v>0</v>
      </c>
      <c r="I4" s="12">
        <v>20902.97</v>
      </c>
      <c r="J4" s="12">
        <v>9429.95</v>
      </c>
      <c r="K4" s="13">
        <f t="shared" si="1"/>
        <v>0.451129672003548</v>
      </c>
      <c r="L4" s="12">
        <f t="shared" si="2"/>
        <v>18.0546657381616</v>
      </c>
    </row>
    <row r="5" ht="15" customHeight="1" spans="1:12">
      <c r="A5" s="14" t="s">
        <v>13</v>
      </c>
      <c r="B5" s="15">
        <v>1391</v>
      </c>
      <c r="C5" s="15">
        <v>2444</v>
      </c>
      <c r="D5" s="16">
        <v>23979.9</v>
      </c>
      <c r="E5" s="16">
        <v>4544.64</v>
      </c>
      <c r="F5" s="17">
        <f t="shared" si="0"/>
        <v>0.189518721929616</v>
      </c>
      <c r="G5" s="16">
        <v>18492.96</v>
      </c>
      <c r="H5" s="16">
        <v>0</v>
      </c>
      <c r="I5" s="16">
        <v>19435.26</v>
      </c>
      <c r="J5" s="16">
        <v>8661.35</v>
      </c>
      <c r="K5" s="17">
        <f t="shared" si="1"/>
        <v>0.445651357378291</v>
      </c>
      <c r="L5" s="16">
        <f t="shared" si="2"/>
        <v>17.2393242271747</v>
      </c>
    </row>
    <row r="6" ht="15" customHeight="1" spans="1:12">
      <c r="A6" s="10" t="s">
        <v>14</v>
      </c>
      <c r="B6" s="11">
        <v>1363</v>
      </c>
      <c r="C6" s="11">
        <v>2258</v>
      </c>
      <c r="D6" s="12">
        <v>21749.3</v>
      </c>
      <c r="E6" s="12">
        <v>4100.06</v>
      </c>
      <c r="F6" s="13">
        <f t="shared" si="0"/>
        <v>0.188514572882805</v>
      </c>
      <c r="G6" s="12">
        <v>17012.64</v>
      </c>
      <c r="H6" s="12">
        <v>0</v>
      </c>
      <c r="I6" s="12">
        <v>17649.24</v>
      </c>
      <c r="J6" s="12">
        <v>8090.59</v>
      </c>
      <c r="K6" s="13">
        <f t="shared" si="1"/>
        <v>0.458410107177419</v>
      </c>
      <c r="L6" s="12">
        <f t="shared" si="2"/>
        <v>15.9569332355099</v>
      </c>
    </row>
    <row r="7" ht="15" customHeight="1" spans="1:12">
      <c r="A7" s="14" t="s">
        <v>15</v>
      </c>
      <c r="B7" s="15">
        <v>1190</v>
      </c>
      <c r="C7" s="15">
        <v>2047</v>
      </c>
      <c r="D7" s="16">
        <v>18595.3</v>
      </c>
      <c r="E7" s="16">
        <v>3399.57</v>
      </c>
      <c r="F7" s="17">
        <f t="shared" si="0"/>
        <v>0.182818776787683</v>
      </c>
      <c r="G7" s="16">
        <v>14735.43</v>
      </c>
      <c r="H7" s="16">
        <v>0</v>
      </c>
      <c r="I7" s="16">
        <v>15195.73</v>
      </c>
      <c r="J7" s="16">
        <v>6793.29</v>
      </c>
      <c r="K7" s="17">
        <f t="shared" si="1"/>
        <v>0.447052560159992</v>
      </c>
      <c r="L7" s="16">
        <f t="shared" si="2"/>
        <v>15.6263025210084</v>
      </c>
    </row>
    <row r="8" ht="15" customHeight="1" spans="1:12">
      <c r="A8" s="10" t="s">
        <v>16</v>
      </c>
      <c r="B8" s="11">
        <v>1467</v>
      </c>
      <c r="C8" s="11">
        <v>2627</v>
      </c>
      <c r="D8" s="12">
        <v>23478.2</v>
      </c>
      <c r="E8" s="12">
        <v>3000.73</v>
      </c>
      <c r="F8" s="13">
        <f t="shared" si="0"/>
        <v>0.12780920172756</v>
      </c>
      <c r="G8" s="12">
        <v>20081.77</v>
      </c>
      <c r="H8" s="12">
        <v>0</v>
      </c>
      <c r="I8" s="12">
        <v>20477.47</v>
      </c>
      <c r="J8" s="12">
        <v>8920.88</v>
      </c>
      <c r="K8" s="13">
        <f t="shared" si="1"/>
        <v>0.435643661057738</v>
      </c>
      <c r="L8" s="12">
        <f t="shared" si="2"/>
        <v>16.0042263122018</v>
      </c>
    </row>
    <row r="9" ht="15" customHeight="1" spans="1:12">
      <c r="A9" s="14" t="s">
        <v>17</v>
      </c>
      <c r="B9" s="15">
        <v>1320</v>
      </c>
      <c r="C9" s="15">
        <v>2368</v>
      </c>
      <c r="D9" s="16">
        <v>19997.7</v>
      </c>
      <c r="E9" s="16">
        <v>1834.24</v>
      </c>
      <c r="F9" s="17">
        <f t="shared" si="0"/>
        <v>0.0917225480930307</v>
      </c>
      <c r="G9" s="16">
        <v>17933.16</v>
      </c>
      <c r="H9" s="16">
        <v>0</v>
      </c>
      <c r="I9" s="16">
        <v>18163.46</v>
      </c>
      <c r="J9" s="16">
        <v>8203.39</v>
      </c>
      <c r="K9" s="17">
        <f t="shared" si="1"/>
        <v>0.451642473405397</v>
      </c>
      <c r="L9" s="16">
        <f t="shared" si="2"/>
        <v>15.1497727272727</v>
      </c>
    </row>
    <row r="10" ht="15" customHeight="1" spans="1:12">
      <c r="A10" s="10" t="s">
        <v>18</v>
      </c>
      <c r="B10" s="11">
        <v>2575</v>
      </c>
      <c r="C10" s="11">
        <v>4472</v>
      </c>
      <c r="D10" s="12">
        <v>35330.1</v>
      </c>
      <c r="E10" s="12">
        <v>1493.37</v>
      </c>
      <c r="F10" s="13">
        <f t="shared" si="0"/>
        <v>0.0422690566966977</v>
      </c>
      <c r="G10" s="12">
        <v>27061.61</v>
      </c>
      <c r="H10" s="12">
        <v>6631.12</v>
      </c>
      <c r="I10" s="12">
        <v>33836.73</v>
      </c>
      <c r="J10" s="12">
        <v>16803.41</v>
      </c>
      <c r="K10" s="13">
        <f t="shared" si="1"/>
        <v>0.496602656344156</v>
      </c>
      <c r="L10" s="12">
        <f t="shared" si="2"/>
        <v>13.720427184466</v>
      </c>
    </row>
    <row r="11" ht="15" customHeight="1" spans="1:12">
      <c r="A11" s="14" t="s">
        <v>19</v>
      </c>
      <c r="B11" s="15">
        <v>3063</v>
      </c>
      <c r="C11" s="15">
        <v>5317</v>
      </c>
      <c r="D11" s="16">
        <v>42885</v>
      </c>
      <c r="E11" s="16">
        <v>1138.27</v>
      </c>
      <c r="F11" s="17">
        <f t="shared" si="0"/>
        <v>0.0265423807858225</v>
      </c>
      <c r="G11" s="16">
        <v>20369.04</v>
      </c>
      <c r="H11" s="16">
        <v>21188.21</v>
      </c>
      <c r="I11" s="16">
        <v>41746.73</v>
      </c>
      <c r="J11" s="16">
        <v>22387.87</v>
      </c>
      <c r="K11" s="17">
        <f t="shared" si="1"/>
        <v>0.536278410309023</v>
      </c>
      <c r="L11" s="16">
        <f t="shared" si="2"/>
        <v>14.0009794319295</v>
      </c>
    </row>
    <row r="12" ht="15" customHeight="1" spans="1:12">
      <c r="A12" s="10" t="s">
        <v>20</v>
      </c>
      <c r="B12" s="11">
        <v>4412</v>
      </c>
      <c r="C12" s="11">
        <v>7363</v>
      </c>
      <c r="D12" s="12">
        <v>61686.1</v>
      </c>
      <c r="E12" s="12">
        <v>2771.24</v>
      </c>
      <c r="F12" s="13">
        <f t="shared" si="0"/>
        <v>0.0449248696221677</v>
      </c>
      <c r="G12" s="12">
        <v>28188.78</v>
      </c>
      <c r="H12" s="12">
        <v>30162.9</v>
      </c>
      <c r="I12" s="12">
        <v>58914.86</v>
      </c>
      <c r="J12" s="12">
        <v>31794.08</v>
      </c>
      <c r="K12" s="13">
        <f t="shared" si="1"/>
        <v>0.539661470807195</v>
      </c>
      <c r="L12" s="12">
        <f t="shared" si="2"/>
        <v>13.9814369900272</v>
      </c>
    </row>
    <row r="13" ht="15" customHeight="1" spans="1:12">
      <c r="A13" s="14" t="s">
        <v>21</v>
      </c>
      <c r="B13" s="15">
        <v>5337</v>
      </c>
      <c r="C13" s="15">
        <v>8919</v>
      </c>
      <c r="D13" s="16">
        <v>74676.3</v>
      </c>
      <c r="E13" s="16">
        <v>3229.53</v>
      </c>
      <c r="F13" s="17">
        <f t="shared" si="0"/>
        <v>0.0432470542862997</v>
      </c>
      <c r="G13" s="16">
        <v>36773.81</v>
      </c>
      <c r="H13" s="16">
        <v>34254.46</v>
      </c>
      <c r="I13" s="16">
        <v>71446.77</v>
      </c>
      <c r="J13" s="16">
        <v>38928.53</v>
      </c>
      <c r="K13" s="17">
        <f t="shared" si="1"/>
        <v>0.544860600416226</v>
      </c>
      <c r="L13" s="16">
        <f t="shared" si="2"/>
        <v>13.9921866216976</v>
      </c>
    </row>
    <row r="14" ht="15" customHeight="1" spans="1:12">
      <c r="A14" s="10" t="s">
        <v>22</v>
      </c>
      <c r="B14" s="11">
        <v>4470</v>
      </c>
      <c r="C14" s="11">
        <v>7542</v>
      </c>
      <c r="D14" s="12">
        <v>60657.8</v>
      </c>
      <c r="E14" s="12">
        <v>2485.09</v>
      </c>
      <c r="F14" s="13">
        <f t="shared" si="0"/>
        <v>0.040969009756371</v>
      </c>
      <c r="G14" s="12">
        <v>26432.84</v>
      </c>
      <c r="H14" s="12">
        <v>31568.27</v>
      </c>
      <c r="I14" s="12">
        <v>58172.71</v>
      </c>
      <c r="J14" s="12">
        <v>33157.08</v>
      </c>
      <c r="K14" s="13">
        <f t="shared" si="1"/>
        <v>0.569976540546246</v>
      </c>
      <c r="L14" s="12">
        <f t="shared" si="2"/>
        <v>13.5699776286353</v>
      </c>
    </row>
    <row r="15" ht="15" customHeight="1" spans="1:12">
      <c r="A15" s="14" t="s">
        <v>23</v>
      </c>
      <c r="B15" s="15">
        <v>2241</v>
      </c>
      <c r="C15" s="15">
        <v>3768</v>
      </c>
      <c r="D15" s="16">
        <v>29396.9</v>
      </c>
      <c r="E15" s="16">
        <v>1055.41</v>
      </c>
      <c r="F15" s="17">
        <f t="shared" si="0"/>
        <v>0.0359020849137154</v>
      </c>
      <c r="G15" s="16">
        <v>11636.84</v>
      </c>
      <c r="H15" s="16">
        <v>16557.15</v>
      </c>
      <c r="I15" s="16">
        <v>28341.49</v>
      </c>
      <c r="J15" s="16">
        <v>16479.94</v>
      </c>
      <c r="K15" s="17">
        <f t="shared" si="1"/>
        <v>0.581477544052906</v>
      </c>
      <c r="L15" s="16">
        <f t="shared" si="2"/>
        <v>13.1177599286033</v>
      </c>
    </row>
    <row r="16" ht="15" customHeight="1" spans="1:12">
      <c r="A16" s="10" t="s">
        <v>24</v>
      </c>
      <c r="B16" s="11">
        <v>4305</v>
      </c>
      <c r="C16" s="11">
        <v>7049</v>
      </c>
      <c r="D16" s="12">
        <v>55178.9</v>
      </c>
      <c r="E16" s="12">
        <v>2785.09</v>
      </c>
      <c r="F16" s="13">
        <f t="shared" si="0"/>
        <v>0.0504738224212516</v>
      </c>
      <c r="G16" s="12">
        <v>25035.8</v>
      </c>
      <c r="H16" s="12">
        <v>27226.71</v>
      </c>
      <c r="I16" s="12">
        <v>52393.81</v>
      </c>
      <c r="J16" s="12">
        <v>26667.94</v>
      </c>
      <c r="K16" s="13">
        <f t="shared" si="1"/>
        <v>0.508990279576919</v>
      </c>
      <c r="L16" s="12">
        <f t="shared" si="2"/>
        <v>12.8173983739837</v>
      </c>
    </row>
    <row r="17" ht="15" customHeight="1" spans="1:12">
      <c r="A17" s="14" t="s">
        <v>25</v>
      </c>
      <c r="B17" s="15">
        <v>4856</v>
      </c>
      <c r="C17" s="15">
        <v>7870</v>
      </c>
      <c r="D17" s="16">
        <v>62544.2</v>
      </c>
      <c r="E17" s="16">
        <v>2614.01</v>
      </c>
      <c r="F17" s="17">
        <f t="shared" si="0"/>
        <v>0.0417946028568596</v>
      </c>
      <c r="G17" s="16">
        <v>24399.08</v>
      </c>
      <c r="H17" s="16">
        <v>35236.41</v>
      </c>
      <c r="I17" s="16">
        <v>59930.19</v>
      </c>
      <c r="J17" s="16">
        <v>31199.58</v>
      </c>
      <c r="K17" s="17">
        <f t="shared" si="1"/>
        <v>0.520598716606772</v>
      </c>
      <c r="L17" s="16">
        <f t="shared" si="2"/>
        <v>12.8797775947282</v>
      </c>
    </row>
    <row r="18" ht="15" customHeight="1" spans="1:12">
      <c r="A18" s="10" t="s">
        <v>26</v>
      </c>
      <c r="B18" s="11">
        <v>4870</v>
      </c>
      <c r="C18" s="11">
        <v>7853</v>
      </c>
      <c r="D18" s="12">
        <v>61864.3</v>
      </c>
      <c r="E18" s="12">
        <v>3272.82</v>
      </c>
      <c r="F18" s="13">
        <f t="shared" si="0"/>
        <v>0.0529032091206075</v>
      </c>
      <c r="G18" s="12">
        <v>24196.06</v>
      </c>
      <c r="H18" s="12">
        <v>34227.82</v>
      </c>
      <c r="I18" s="12">
        <v>58591.48</v>
      </c>
      <c r="J18" s="12">
        <v>30271.96</v>
      </c>
      <c r="K18" s="13">
        <f t="shared" si="1"/>
        <v>0.516661466820773</v>
      </c>
      <c r="L18" s="12">
        <f t="shared" si="2"/>
        <v>12.7031416837782</v>
      </c>
    </row>
    <row r="19" ht="15" spans="1:12">
      <c r="A19" s="14" t="s">
        <v>27</v>
      </c>
      <c r="B19" s="15">
        <v>5515</v>
      </c>
      <c r="C19" s="15">
        <v>8893</v>
      </c>
      <c r="D19" s="16">
        <v>68244.9</v>
      </c>
      <c r="E19" s="16">
        <v>3552.71</v>
      </c>
      <c r="F19" s="17">
        <f t="shared" si="0"/>
        <v>0.0520582490413203</v>
      </c>
      <c r="G19" s="16">
        <v>27320.59</v>
      </c>
      <c r="H19" s="16">
        <v>37131.4</v>
      </c>
      <c r="I19" s="16">
        <v>64692.19</v>
      </c>
      <c r="J19" s="16">
        <v>33548.98</v>
      </c>
      <c r="K19" s="17">
        <f t="shared" si="1"/>
        <v>0.518593975563356</v>
      </c>
      <c r="L19" s="16">
        <f t="shared" si="2"/>
        <v>12.3744152311877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F27" sqref="F27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10.4444444444444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2">
        <v>0</v>
      </c>
      <c r="C2" s="12">
        <v>0</v>
      </c>
      <c r="D2" s="12">
        <v>0</v>
      </c>
      <c r="E2" s="12">
        <v>0</v>
      </c>
      <c r="F2" s="13" t="str">
        <f t="shared" ref="F2:F19" si="0">IF(D2=0,"-",E2/D2)</f>
        <v>-</v>
      </c>
      <c r="G2" s="12">
        <v>0</v>
      </c>
      <c r="H2" s="12">
        <v>0</v>
      </c>
      <c r="I2" s="12">
        <v>0</v>
      </c>
      <c r="J2" s="12" t="str">
        <f>IF(I2=0,"-",I2-0)</f>
        <v>-</v>
      </c>
      <c r="K2" s="13" t="str">
        <f t="shared" ref="K2:K19" si="1">IF(I2=0,"-",J2/I2)</f>
        <v>-</v>
      </c>
      <c r="L2" s="12" t="str">
        <f t="shared" ref="L2:L19" si="2">IF(B2=0,"-",D2/B2)</f>
        <v>-</v>
      </c>
    </row>
    <row r="3" ht="15" customHeight="1" spans="1:12">
      <c r="A3" s="14" t="s">
        <v>11</v>
      </c>
      <c r="B3" s="16">
        <v>0</v>
      </c>
      <c r="C3" s="16">
        <v>0</v>
      </c>
      <c r="D3" s="16">
        <v>0</v>
      </c>
      <c r="E3" s="16">
        <v>0</v>
      </c>
      <c r="F3" s="17" t="str">
        <f t="shared" si="0"/>
        <v>-</v>
      </c>
      <c r="G3" s="16">
        <v>0</v>
      </c>
      <c r="H3" s="16">
        <v>0</v>
      </c>
      <c r="I3" s="16">
        <v>0</v>
      </c>
      <c r="J3" s="16" t="str">
        <f>IF(I3=0,"-",I3-0)</f>
        <v>-</v>
      </c>
      <c r="K3" s="17" t="str">
        <f t="shared" si="1"/>
        <v>-</v>
      </c>
      <c r="L3" s="16" t="str">
        <f t="shared" si="2"/>
        <v>-</v>
      </c>
    </row>
    <row r="4" ht="15" customHeight="1" spans="1:12">
      <c r="A4" s="10" t="s">
        <v>12</v>
      </c>
      <c r="B4" s="11">
        <v>2212</v>
      </c>
      <c r="C4" s="11">
        <v>4144</v>
      </c>
      <c r="D4" s="12">
        <v>43213.1</v>
      </c>
      <c r="E4" s="12">
        <v>7620.09</v>
      </c>
      <c r="F4" s="13">
        <f t="shared" si="0"/>
        <v>0.176337499508251</v>
      </c>
      <c r="G4" s="12">
        <v>35303.56</v>
      </c>
      <c r="H4" s="12">
        <v>0</v>
      </c>
      <c r="I4" s="12">
        <v>35593.01</v>
      </c>
      <c r="J4" s="12">
        <v>16820.32</v>
      </c>
      <c r="K4" s="13">
        <f t="shared" si="1"/>
        <v>0.472573687923556</v>
      </c>
      <c r="L4" s="12">
        <f t="shared" si="2"/>
        <v>19.5357594936709</v>
      </c>
    </row>
    <row r="5" ht="15" customHeight="1" spans="1:12">
      <c r="A5" s="14" t="s">
        <v>13</v>
      </c>
      <c r="B5" s="15">
        <v>4758</v>
      </c>
      <c r="C5" s="15">
        <v>8750</v>
      </c>
      <c r="D5" s="16">
        <v>89605.7</v>
      </c>
      <c r="E5" s="16">
        <v>9592.8</v>
      </c>
      <c r="F5" s="17">
        <f t="shared" si="0"/>
        <v>0.107055689537608</v>
      </c>
      <c r="G5" s="16">
        <v>79005.78</v>
      </c>
      <c r="H5" s="16">
        <v>748.72</v>
      </c>
      <c r="I5" s="16">
        <v>80012.9</v>
      </c>
      <c r="J5" s="16">
        <v>37785.76</v>
      </c>
      <c r="K5" s="17">
        <f t="shared" si="1"/>
        <v>0.47224585035663</v>
      </c>
      <c r="L5" s="16">
        <f t="shared" si="2"/>
        <v>18.832639764607</v>
      </c>
    </row>
    <row r="6" ht="15" customHeight="1" spans="1:12">
      <c r="A6" s="10" t="s">
        <v>14</v>
      </c>
      <c r="B6" s="11">
        <v>3881</v>
      </c>
      <c r="C6" s="11">
        <v>7452</v>
      </c>
      <c r="D6" s="12">
        <v>78542.5</v>
      </c>
      <c r="E6" s="12">
        <v>13162.55</v>
      </c>
      <c r="F6" s="13">
        <f t="shared" si="0"/>
        <v>0.167585065410447</v>
      </c>
      <c r="G6" s="12">
        <v>61693.86</v>
      </c>
      <c r="H6" s="12">
        <v>1839.04</v>
      </c>
      <c r="I6" s="12">
        <v>65379.95</v>
      </c>
      <c r="J6" s="12">
        <v>30830.72</v>
      </c>
      <c r="K6" s="13">
        <f t="shared" si="1"/>
        <v>0.471562306181023</v>
      </c>
      <c r="L6" s="12">
        <f t="shared" si="2"/>
        <v>20.237696469982</v>
      </c>
    </row>
    <row r="7" ht="15" customHeight="1" spans="1:12">
      <c r="A7" s="14" t="s">
        <v>15</v>
      </c>
      <c r="B7" s="15">
        <v>3542</v>
      </c>
      <c r="C7" s="15">
        <v>6134</v>
      </c>
      <c r="D7" s="16">
        <v>63249.7</v>
      </c>
      <c r="E7" s="16">
        <v>6219.09</v>
      </c>
      <c r="F7" s="17">
        <f t="shared" si="0"/>
        <v>0.0983259999652172</v>
      </c>
      <c r="G7" s="16">
        <v>56464.01</v>
      </c>
      <c r="H7" s="16">
        <v>0</v>
      </c>
      <c r="I7" s="16">
        <v>57030.61</v>
      </c>
      <c r="J7" s="16">
        <v>27414.87</v>
      </c>
      <c r="K7" s="17">
        <f t="shared" si="1"/>
        <v>0.480704484837178</v>
      </c>
      <c r="L7" s="16">
        <f t="shared" si="2"/>
        <v>17.8570581592321</v>
      </c>
    </row>
    <row r="8" ht="15" customHeight="1" spans="1:12">
      <c r="A8" s="10" t="s">
        <v>16</v>
      </c>
      <c r="B8" s="11">
        <v>4379</v>
      </c>
      <c r="C8" s="11">
        <v>8152</v>
      </c>
      <c r="D8" s="12">
        <v>74743.9</v>
      </c>
      <c r="E8" s="12">
        <v>6180.19</v>
      </c>
      <c r="F8" s="13">
        <f t="shared" si="0"/>
        <v>0.0826848746185307</v>
      </c>
      <c r="G8" s="12">
        <v>68158.71</v>
      </c>
      <c r="H8" s="12">
        <v>0</v>
      </c>
      <c r="I8" s="12">
        <v>68563.71</v>
      </c>
      <c r="J8" s="12">
        <v>32322.95</v>
      </c>
      <c r="K8" s="13">
        <f t="shared" si="1"/>
        <v>0.471429419440692</v>
      </c>
      <c r="L8" s="12">
        <f t="shared" si="2"/>
        <v>17.0687143183375</v>
      </c>
    </row>
    <row r="9" ht="15" customHeight="1" spans="1:12">
      <c r="A9" s="14" t="s">
        <v>17</v>
      </c>
      <c r="B9" s="15">
        <v>4555</v>
      </c>
      <c r="C9" s="15">
        <v>9188</v>
      </c>
      <c r="D9" s="16">
        <v>81483.3</v>
      </c>
      <c r="E9" s="16">
        <v>6280.99</v>
      </c>
      <c r="F9" s="17">
        <f t="shared" si="0"/>
        <v>0.0770831569168161</v>
      </c>
      <c r="G9" s="16">
        <v>75020.71</v>
      </c>
      <c r="H9" s="16">
        <v>0</v>
      </c>
      <c r="I9" s="16">
        <v>75202.31</v>
      </c>
      <c r="J9" s="16">
        <v>35552.26</v>
      </c>
      <c r="K9" s="17">
        <f t="shared" si="1"/>
        <v>0.472754892768587</v>
      </c>
      <c r="L9" s="16">
        <f t="shared" si="2"/>
        <v>17.8887596048299</v>
      </c>
    </row>
    <row r="10" ht="15" customHeight="1" spans="1:12">
      <c r="A10" s="10" t="s">
        <v>18</v>
      </c>
      <c r="B10" s="11">
        <v>4106</v>
      </c>
      <c r="C10" s="11">
        <v>7762</v>
      </c>
      <c r="D10" s="12">
        <v>65778.5</v>
      </c>
      <c r="E10" s="12">
        <v>4497.6</v>
      </c>
      <c r="F10" s="13">
        <f t="shared" si="0"/>
        <v>0.0683749249374796</v>
      </c>
      <c r="G10" s="12">
        <v>59540.2</v>
      </c>
      <c r="H10" s="12">
        <v>1588.2</v>
      </c>
      <c r="I10" s="12">
        <v>61280.9</v>
      </c>
      <c r="J10" s="12">
        <v>30619.5</v>
      </c>
      <c r="K10" s="13">
        <f t="shared" si="1"/>
        <v>0.499658131652766</v>
      </c>
      <c r="L10" s="12">
        <f t="shared" si="2"/>
        <v>16.0200925474915</v>
      </c>
    </row>
    <row r="11" ht="15" customHeight="1" spans="1:12">
      <c r="A11" s="14" t="s">
        <v>19</v>
      </c>
      <c r="B11" s="15">
        <v>5423</v>
      </c>
      <c r="C11" s="15">
        <v>10244</v>
      </c>
      <c r="D11" s="16">
        <v>87723.7</v>
      </c>
      <c r="E11" s="16">
        <v>5358.92</v>
      </c>
      <c r="F11" s="17">
        <f t="shared" si="0"/>
        <v>0.0610886225729193</v>
      </c>
      <c r="G11" s="16">
        <v>73659.74</v>
      </c>
      <c r="H11" s="16">
        <v>8416.1</v>
      </c>
      <c r="I11" s="16">
        <v>82364.78</v>
      </c>
      <c r="J11" s="16">
        <v>42220.19</v>
      </c>
      <c r="K11" s="17">
        <f t="shared" si="1"/>
        <v>0.512600045796274</v>
      </c>
      <c r="L11" s="16">
        <f t="shared" si="2"/>
        <v>16.176230868523</v>
      </c>
    </row>
    <row r="12" ht="15" customHeight="1" spans="1:12">
      <c r="A12" s="10" t="s">
        <v>20</v>
      </c>
      <c r="B12" s="11">
        <v>5132</v>
      </c>
      <c r="C12" s="11">
        <v>9263</v>
      </c>
      <c r="D12" s="12">
        <v>78246.6</v>
      </c>
      <c r="E12" s="12">
        <v>4148.38</v>
      </c>
      <c r="F12" s="13">
        <f t="shared" si="0"/>
        <v>0.0530167444975245</v>
      </c>
      <c r="G12" s="12">
        <v>65587.8</v>
      </c>
      <c r="H12" s="12">
        <v>8329.12</v>
      </c>
      <c r="I12" s="12">
        <v>74098.22</v>
      </c>
      <c r="J12" s="12">
        <v>38208.88</v>
      </c>
      <c r="K12" s="13">
        <f t="shared" si="1"/>
        <v>0.515651792985041</v>
      </c>
      <c r="L12" s="12">
        <f t="shared" si="2"/>
        <v>15.2468043647701</v>
      </c>
    </row>
    <row r="13" ht="15" customHeight="1" spans="1:12">
      <c r="A13" s="14" t="s">
        <v>21</v>
      </c>
      <c r="B13" s="15">
        <v>5461</v>
      </c>
      <c r="C13" s="15">
        <v>10184</v>
      </c>
      <c r="D13" s="16">
        <v>81065.8</v>
      </c>
      <c r="E13" s="16">
        <v>4076.84</v>
      </c>
      <c r="F13" s="17">
        <f t="shared" si="0"/>
        <v>0.050290504750462</v>
      </c>
      <c r="G13" s="16">
        <v>68806.83</v>
      </c>
      <c r="H13" s="16">
        <v>8110.43</v>
      </c>
      <c r="I13" s="16">
        <v>76988.96</v>
      </c>
      <c r="J13" s="16">
        <v>39658.54</v>
      </c>
      <c r="K13" s="17">
        <f t="shared" si="1"/>
        <v>0.515119830167858</v>
      </c>
      <c r="L13" s="16">
        <f t="shared" si="2"/>
        <v>14.8444973448086</v>
      </c>
    </row>
    <row r="14" ht="15" customHeight="1" spans="1:12">
      <c r="A14" s="10" t="s">
        <v>22</v>
      </c>
      <c r="B14" s="11">
        <v>5292</v>
      </c>
      <c r="C14" s="11">
        <v>9967</v>
      </c>
      <c r="D14" s="12">
        <v>73902.5</v>
      </c>
      <c r="E14" s="12">
        <v>3720.05</v>
      </c>
      <c r="F14" s="13">
        <f t="shared" si="0"/>
        <v>0.0503372686986232</v>
      </c>
      <c r="G14" s="12">
        <v>63471.75</v>
      </c>
      <c r="H14" s="12">
        <v>6601.2</v>
      </c>
      <c r="I14" s="12">
        <v>70182.45</v>
      </c>
      <c r="J14" s="12">
        <v>36971.64</v>
      </c>
      <c r="K14" s="13">
        <f t="shared" si="1"/>
        <v>0.526793236770731</v>
      </c>
      <c r="L14" s="12">
        <f t="shared" si="2"/>
        <v>13.9649470899471</v>
      </c>
    </row>
    <row r="15" ht="15" customHeight="1" spans="1:12">
      <c r="A15" s="14" t="s">
        <v>23</v>
      </c>
      <c r="B15" s="15">
        <v>2936</v>
      </c>
      <c r="C15" s="15">
        <v>5467</v>
      </c>
      <c r="D15" s="16">
        <v>38861.7</v>
      </c>
      <c r="E15" s="16">
        <v>1234.93</v>
      </c>
      <c r="F15" s="17">
        <f t="shared" si="0"/>
        <v>0.0317775599111722</v>
      </c>
      <c r="G15" s="16">
        <v>35847.83</v>
      </c>
      <c r="H15" s="16">
        <v>1778.94</v>
      </c>
      <c r="I15" s="16">
        <v>37626.77</v>
      </c>
      <c r="J15" s="16">
        <v>20158.71</v>
      </c>
      <c r="K15" s="17">
        <f t="shared" si="1"/>
        <v>0.535754464175373</v>
      </c>
      <c r="L15" s="16">
        <f t="shared" si="2"/>
        <v>13.2362738419619</v>
      </c>
    </row>
    <row r="16" ht="15" customHeight="1" spans="1:12">
      <c r="A16" s="10" t="s">
        <v>24</v>
      </c>
      <c r="B16" s="11">
        <v>4282</v>
      </c>
      <c r="C16" s="11">
        <v>7806</v>
      </c>
      <c r="D16" s="12">
        <v>54998</v>
      </c>
      <c r="E16" s="12">
        <v>2111.84</v>
      </c>
      <c r="F16" s="13">
        <f t="shared" si="0"/>
        <v>0.038398487217717</v>
      </c>
      <c r="G16" s="12">
        <v>48667.5</v>
      </c>
      <c r="H16" s="12">
        <v>3886.66</v>
      </c>
      <c r="I16" s="12">
        <v>52886.16</v>
      </c>
      <c r="J16" s="12">
        <v>26459.25</v>
      </c>
      <c r="K16" s="13">
        <f t="shared" si="1"/>
        <v>0.500305751069845</v>
      </c>
      <c r="L16" s="12">
        <f t="shared" si="2"/>
        <v>12.8439981317142</v>
      </c>
    </row>
    <row r="17" ht="15" customHeight="1" spans="1:12">
      <c r="A17" s="14" t="s">
        <v>25</v>
      </c>
      <c r="B17" s="15">
        <v>4502</v>
      </c>
      <c r="C17" s="15">
        <v>7828</v>
      </c>
      <c r="D17" s="16">
        <v>54760.9</v>
      </c>
      <c r="E17" s="16">
        <v>2018.25</v>
      </c>
      <c r="F17" s="17">
        <f t="shared" si="0"/>
        <v>0.0368556762215376</v>
      </c>
      <c r="G17" s="16">
        <v>43648.82</v>
      </c>
      <c r="H17" s="16">
        <v>8932.83</v>
      </c>
      <c r="I17" s="16">
        <v>52742.65</v>
      </c>
      <c r="J17" s="16">
        <v>26414.64</v>
      </c>
      <c r="K17" s="17">
        <f t="shared" si="1"/>
        <v>0.500821251871114</v>
      </c>
      <c r="L17" s="16">
        <f t="shared" si="2"/>
        <v>12.163682807641</v>
      </c>
    </row>
    <row r="18" ht="15" customHeight="1" spans="1:12">
      <c r="A18" s="10" t="s">
        <v>26</v>
      </c>
      <c r="B18" s="11">
        <v>4671</v>
      </c>
      <c r="C18" s="11">
        <v>8134</v>
      </c>
      <c r="D18" s="12">
        <v>55331.7</v>
      </c>
      <c r="E18" s="12">
        <v>2142.08</v>
      </c>
      <c r="F18" s="13">
        <f t="shared" si="0"/>
        <v>0.038713431902508</v>
      </c>
      <c r="G18" s="12">
        <v>43882.64</v>
      </c>
      <c r="H18" s="12">
        <v>8966.88</v>
      </c>
      <c r="I18" s="12">
        <v>53189.62</v>
      </c>
      <c r="J18" s="12">
        <v>26503.82</v>
      </c>
      <c r="K18" s="13">
        <f t="shared" si="1"/>
        <v>0.498289327880139</v>
      </c>
      <c r="L18" s="12">
        <f t="shared" si="2"/>
        <v>11.845793192036</v>
      </c>
    </row>
    <row r="19" ht="15" spans="1:12">
      <c r="A19" s="14" t="s">
        <v>27</v>
      </c>
      <c r="B19" s="15">
        <v>4595</v>
      </c>
      <c r="C19" s="15">
        <v>8077</v>
      </c>
      <c r="D19" s="16">
        <v>55696.1</v>
      </c>
      <c r="E19" s="16">
        <v>3338.69</v>
      </c>
      <c r="F19" s="17">
        <f t="shared" si="0"/>
        <v>0.0599447717165116</v>
      </c>
      <c r="G19" s="16">
        <v>41752.54</v>
      </c>
      <c r="H19" s="16">
        <v>10220.49</v>
      </c>
      <c r="I19" s="16">
        <v>52357.41</v>
      </c>
      <c r="J19" s="16">
        <v>26624.54</v>
      </c>
      <c r="K19" s="17">
        <f t="shared" si="1"/>
        <v>0.50851522258263</v>
      </c>
      <c r="L19" s="16">
        <f t="shared" si="2"/>
        <v>12.1210228509249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795</v>
      </c>
      <c r="C2" s="11">
        <v>1401</v>
      </c>
      <c r="D2" s="12">
        <v>18035.3</v>
      </c>
      <c r="E2" s="12">
        <v>3619.56</v>
      </c>
      <c r="F2" s="13">
        <f t="shared" ref="F2:F19" si="0">IF(D2=0,"-",E2/D2)</f>
        <v>0.200693085227304</v>
      </c>
      <c r="G2" s="12">
        <v>12649.54</v>
      </c>
      <c r="H2" s="12">
        <v>1766.2</v>
      </c>
      <c r="I2" s="12">
        <v>14415.74</v>
      </c>
      <c r="J2" s="12">
        <v>7045.89</v>
      </c>
      <c r="K2" s="13">
        <f t="shared" ref="K2:K19" si="1">IF(I2=0,"-",J2/I2)</f>
        <v>0.488763670820922</v>
      </c>
      <c r="L2" s="12">
        <f t="shared" ref="L2:L19" si="2">IF(B2=0,"-",D2/B2)</f>
        <v>22.6859119496855</v>
      </c>
    </row>
    <row r="3" ht="15" customHeight="1" spans="1:12">
      <c r="A3" s="14" t="s">
        <v>11</v>
      </c>
      <c r="B3" s="15">
        <v>1151</v>
      </c>
      <c r="C3" s="15">
        <v>2030</v>
      </c>
      <c r="D3" s="16">
        <v>21158.8</v>
      </c>
      <c r="E3" s="16">
        <v>3436.93</v>
      </c>
      <c r="F3" s="17">
        <f t="shared" si="0"/>
        <v>0.162435015218254</v>
      </c>
      <c r="G3" s="16">
        <v>9799.06</v>
      </c>
      <c r="H3" s="16">
        <v>7724.02</v>
      </c>
      <c r="I3" s="16">
        <v>17721.87</v>
      </c>
      <c r="J3" s="16">
        <v>8531.05</v>
      </c>
      <c r="K3" s="17">
        <f t="shared" si="1"/>
        <v>0.481385429415744</v>
      </c>
      <c r="L3" s="16">
        <f t="shared" si="2"/>
        <v>18.3829713292789</v>
      </c>
    </row>
    <row r="4" ht="15" customHeight="1" spans="1:12">
      <c r="A4" s="10" t="s">
        <v>12</v>
      </c>
      <c r="B4" s="11">
        <v>1476</v>
      </c>
      <c r="C4" s="11">
        <v>2450</v>
      </c>
      <c r="D4" s="12">
        <v>27024.7</v>
      </c>
      <c r="E4" s="12">
        <v>5979.94</v>
      </c>
      <c r="F4" s="13">
        <f t="shared" si="0"/>
        <v>0.22127683193523</v>
      </c>
      <c r="G4" s="12">
        <v>12360.61</v>
      </c>
      <c r="H4" s="12">
        <v>7140.97</v>
      </c>
      <c r="I4" s="12">
        <v>21044.76</v>
      </c>
      <c r="J4" s="12">
        <v>9759.82</v>
      </c>
      <c r="K4" s="13">
        <f t="shared" si="1"/>
        <v>0.463764851678042</v>
      </c>
      <c r="L4" s="12">
        <f t="shared" si="2"/>
        <v>18.3094173441734</v>
      </c>
    </row>
    <row r="5" ht="15" customHeight="1" spans="1:12">
      <c r="A5" s="14" t="s">
        <v>13</v>
      </c>
      <c r="B5" s="15">
        <v>1732</v>
      </c>
      <c r="C5" s="15">
        <v>2872</v>
      </c>
      <c r="D5" s="16">
        <v>29604.4</v>
      </c>
      <c r="E5" s="16">
        <v>5789.96</v>
      </c>
      <c r="F5" s="17">
        <f t="shared" si="0"/>
        <v>0.195577684398265</v>
      </c>
      <c r="G5" s="16">
        <v>16189.05</v>
      </c>
      <c r="H5" s="16">
        <v>5463.18</v>
      </c>
      <c r="I5" s="16">
        <v>23814.44</v>
      </c>
      <c r="J5" s="16">
        <v>10956.78</v>
      </c>
      <c r="K5" s="17">
        <f t="shared" si="1"/>
        <v>0.460089760666218</v>
      </c>
      <c r="L5" s="16">
        <f t="shared" si="2"/>
        <v>17.0926096997691</v>
      </c>
    </row>
    <row r="6" ht="15" customHeight="1" spans="1:12">
      <c r="A6" s="10" t="s">
        <v>14</v>
      </c>
      <c r="B6" s="11">
        <v>1943</v>
      </c>
      <c r="C6" s="11">
        <v>3302</v>
      </c>
      <c r="D6" s="12">
        <v>34474.4</v>
      </c>
      <c r="E6" s="12">
        <v>8404.42</v>
      </c>
      <c r="F6" s="13">
        <f t="shared" si="0"/>
        <v>0.243787274035226</v>
      </c>
      <c r="G6" s="12">
        <v>15826.13</v>
      </c>
      <c r="H6" s="12">
        <v>7667.82</v>
      </c>
      <c r="I6" s="12">
        <v>26069.98</v>
      </c>
      <c r="J6" s="12">
        <v>11833.62</v>
      </c>
      <c r="K6" s="13">
        <f t="shared" si="1"/>
        <v>0.453917494374756</v>
      </c>
      <c r="L6" s="12">
        <f t="shared" si="2"/>
        <v>17.7428718476583</v>
      </c>
    </row>
    <row r="7" ht="15" customHeight="1" spans="1:12">
      <c r="A7" s="14" t="s">
        <v>15</v>
      </c>
      <c r="B7" s="15">
        <v>1943</v>
      </c>
      <c r="C7" s="15">
        <v>3229</v>
      </c>
      <c r="D7" s="16">
        <v>31906.8</v>
      </c>
      <c r="E7" s="16">
        <v>5295.07</v>
      </c>
      <c r="F7" s="17">
        <f t="shared" si="0"/>
        <v>0.165954279338574</v>
      </c>
      <c r="G7" s="16">
        <v>15065.79</v>
      </c>
      <c r="H7" s="16">
        <v>10214.37</v>
      </c>
      <c r="I7" s="16">
        <v>26611.73</v>
      </c>
      <c r="J7" s="16">
        <v>12882.48</v>
      </c>
      <c r="K7" s="17">
        <f t="shared" si="1"/>
        <v>0.484090286501479</v>
      </c>
      <c r="L7" s="16">
        <f t="shared" si="2"/>
        <v>16.4214101904272</v>
      </c>
    </row>
    <row r="8" ht="15" customHeight="1" spans="1:12">
      <c r="A8" s="10" t="s">
        <v>16</v>
      </c>
      <c r="B8" s="11">
        <v>3139</v>
      </c>
      <c r="C8" s="11">
        <v>5435</v>
      </c>
      <c r="D8" s="12">
        <v>50880.2</v>
      </c>
      <c r="E8" s="12">
        <v>8133.16</v>
      </c>
      <c r="F8" s="13">
        <f t="shared" si="0"/>
        <v>0.159849214429189</v>
      </c>
      <c r="G8" s="12">
        <v>21692.54</v>
      </c>
      <c r="H8" s="12">
        <v>19600.5</v>
      </c>
      <c r="I8" s="12">
        <v>42747.04</v>
      </c>
      <c r="J8" s="12">
        <v>19721.61</v>
      </c>
      <c r="K8" s="13">
        <f t="shared" si="1"/>
        <v>0.461356154718549</v>
      </c>
      <c r="L8" s="12">
        <f t="shared" si="2"/>
        <v>16.2090474673463</v>
      </c>
    </row>
    <row r="9" ht="15" customHeight="1" spans="1:12">
      <c r="A9" s="14" t="s">
        <v>17</v>
      </c>
      <c r="B9" s="15">
        <v>2073</v>
      </c>
      <c r="C9" s="15">
        <v>3765</v>
      </c>
      <c r="D9" s="16">
        <v>33528.4</v>
      </c>
      <c r="E9" s="16">
        <v>5582.14</v>
      </c>
      <c r="F9" s="17">
        <f t="shared" si="0"/>
        <v>0.16648990109877</v>
      </c>
      <c r="G9" s="16">
        <v>13962.3</v>
      </c>
      <c r="H9" s="16">
        <v>12773.15</v>
      </c>
      <c r="I9" s="16">
        <v>27946.26</v>
      </c>
      <c r="J9" s="16">
        <v>12719.32</v>
      </c>
      <c r="K9" s="17">
        <f t="shared" si="1"/>
        <v>0.455134962603225</v>
      </c>
      <c r="L9" s="16">
        <f t="shared" si="2"/>
        <v>16.1738543174144</v>
      </c>
    </row>
    <row r="10" ht="15" customHeight="1" spans="1:12">
      <c r="A10" s="10" t="s">
        <v>18</v>
      </c>
      <c r="B10" s="11">
        <v>1766</v>
      </c>
      <c r="C10" s="11">
        <v>3097</v>
      </c>
      <c r="D10" s="12">
        <v>26393.5</v>
      </c>
      <c r="E10" s="12">
        <v>3770.37</v>
      </c>
      <c r="F10" s="13">
        <f t="shared" si="0"/>
        <v>0.142852217402012</v>
      </c>
      <c r="G10" s="12">
        <v>9722.97</v>
      </c>
      <c r="H10" s="12">
        <v>12353.41</v>
      </c>
      <c r="I10" s="12">
        <v>22623.13</v>
      </c>
      <c r="J10" s="12">
        <v>10992.64</v>
      </c>
      <c r="K10" s="13">
        <f t="shared" si="1"/>
        <v>0.485902702234395</v>
      </c>
      <c r="L10" s="12">
        <f t="shared" si="2"/>
        <v>14.9453567383918</v>
      </c>
    </row>
    <row r="11" ht="15" customHeight="1" spans="1:12">
      <c r="A11" s="14" t="s">
        <v>19</v>
      </c>
      <c r="B11" s="15">
        <v>1772</v>
      </c>
      <c r="C11" s="15">
        <v>3123</v>
      </c>
      <c r="D11" s="16">
        <v>27836.5</v>
      </c>
      <c r="E11" s="16">
        <v>3688.47</v>
      </c>
      <c r="F11" s="17">
        <f t="shared" si="0"/>
        <v>0.132504804842563</v>
      </c>
      <c r="G11" s="16">
        <v>10571.56</v>
      </c>
      <c r="H11" s="16">
        <v>12991.92</v>
      </c>
      <c r="I11" s="16">
        <v>24148.03</v>
      </c>
      <c r="J11" s="16">
        <v>12695.42</v>
      </c>
      <c r="K11" s="17">
        <f t="shared" si="1"/>
        <v>0.525733155044118</v>
      </c>
      <c r="L11" s="16">
        <f t="shared" si="2"/>
        <v>15.709085778781</v>
      </c>
    </row>
    <row r="12" ht="15" customHeight="1" spans="1:12">
      <c r="A12" s="10" t="s">
        <v>20</v>
      </c>
      <c r="B12" s="11">
        <v>1638</v>
      </c>
      <c r="C12" s="11">
        <v>2788</v>
      </c>
      <c r="D12" s="12">
        <v>25001.6</v>
      </c>
      <c r="E12" s="12">
        <v>3363.72</v>
      </c>
      <c r="F12" s="13">
        <f t="shared" si="0"/>
        <v>0.134540189427877</v>
      </c>
      <c r="G12" s="12">
        <v>9259.62</v>
      </c>
      <c r="H12" s="12">
        <v>11798.94</v>
      </c>
      <c r="I12" s="12">
        <v>21637.88</v>
      </c>
      <c r="J12" s="12">
        <v>11631.74</v>
      </c>
      <c r="K12" s="13">
        <f t="shared" si="1"/>
        <v>0.537563753935228</v>
      </c>
      <c r="L12" s="12">
        <f t="shared" si="2"/>
        <v>15.2634920634921</v>
      </c>
    </row>
    <row r="13" ht="15" customHeight="1" spans="1:12">
      <c r="A13" s="14" t="s">
        <v>21</v>
      </c>
      <c r="B13" s="15">
        <v>2118</v>
      </c>
      <c r="C13" s="15">
        <v>3648</v>
      </c>
      <c r="D13" s="16">
        <v>31159</v>
      </c>
      <c r="E13" s="16">
        <v>2886.95</v>
      </c>
      <c r="F13" s="17">
        <f t="shared" si="0"/>
        <v>0.0926522032157643</v>
      </c>
      <c r="G13" s="16">
        <v>13703.19</v>
      </c>
      <c r="H13" s="16">
        <v>14148.91</v>
      </c>
      <c r="I13" s="16">
        <v>28272.05</v>
      </c>
      <c r="J13" s="16">
        <v>15101.86</v>
      </c>
      <c r="K13" s="17">
        <f t="shared" si="1"/>
        <v>0.534162184914076</v>
      </c>
      <c r="L13" s="16">
        <f t="shared" si="2"/>
        <v>14.7115203021719</v>
      </c>
    </row>
    <row r="14" ht="15" customHeight="1" spans="1:12">
      <c r="A14" s="10" t="s">
        <v>22</v>
      </c>
      <c r="B14" s="11">
        <v>2195</v>
      </c>
      <c r="C14" s="11">
        <v>3839</v>
      </c>
      <c r="D14" s="12">
        <v>30214.48</v>
      </c>
      <c r="E14" s="12">
        <v>2125.76</v>
      </c>
      <c r="F14" s="13">
        <f t="shared" si="0"/>
        <v>0.0703556705261848</v>
      </c>
      <c r="G14" s="12">
        <v>10594.94</v>
      </c>
      <c r="H14" s="12">
        <v>17062.16</v>
      </c>
      <c r="I14" s="12">
        <v>28088.72</v>
      </c>
      <c r="J14" s="12">
        <v>15781.45</v>
      </c>
      <c r="K14" s="13">
        <f t="shared" si="1"/>
        <v>0.561842974688772</v>
      </c>
      <c r="L14" s="12">
        <f t="shared" si="2"/>
        <v>13.765138952164</v>
      </c>
    </row>
    <row r="15" ht="15" customHeight="1" spans="1:12">
      <c r="A15" s="14" t="s">
        <v>23</v>
      </c>
      <c r="B15" s="15">
        <v>1724</v>
      </c>
      <c r="C15" s="15">
        <v>2994</v>
      </c>
      <c r="D15" s="16">
        <v>23142.09</v>
      </c>
      <c r="E15" s="16">
        <v>1398.64</v>
      </c>
      <c r="F15" s="17">
        <f t="shared" si="0"/>
        <v>0.0604370651051828</v>
      </c>
      <c r="G15" s="16">
        <v>10820.79</v>
      </c>
      <c r="H15" s="16">
        <v>10692.84</v>
      </c>
      <c r="I15" s="16">
        <v>21743.45</v>
      </c>
      <c r="J15" s="16">
        <v>12238.97</v>
      </c>
      <c r="K15" s="17">
        <f t="shared" si="1"/>
        <v>0.56288077558989</v>
      </c>
      <c r="L15" s="16">
        <f t="shared" si="2"/>
        <v>13.4234860788863</v>
      </c>
    </row>
    <row r="16" ht="15" customHeight="1" spans="1:12">
      <c r="A16" s="10" t="s">
        <v>24</v>
      </c>
      <c r="B16" s="11">
        <v>2289</v>
      </c>
      <c r="C16" s="11">
        <v>3766</v>
      </c>
      <c r="D16" s="12">
        <v>30429</v>
      </c>
      <c r="E16" s="12">
        <v>2410.74</v>
      </c>
      <c r="F16" s="13">
        <f t="shared" si="0"/>
        <v>0.0792250813368826</v>
      </c>
      <c r="G16" s="12">
        <v>10842.43</v>
      </c>
      <c r="H16" s="12">
        <v>16787.8</v>
      </c>
      <c r="I16" s="12">
        <v>28018.26</v>
      </c>
      <c r="J16" s="12">
        <v>14242.09</v>
      </c>
      <c r="K16" s="13">
        <f t="shared" si="1"/>
        <v>0.508314577707538</v>
      </c>
      <c r="L16" s="12">
        <f t="shared" si="2"/>
        <v>13.2935779816514</v>
      </c>
    </row>
    <row r="17" ht="15" customHeight="1" spans="1:12">
      <c r="A17" s="14" t="s">
        <v>25</v>
      </c>
      <c r="B17" s="15">
        <v>2752</v>
      </c>
      <c r="C17" s="15">
        <v>4546</v>
      </c>
      <c r="D17" s="16">
        <v>35932.3</v>
      </c>
      <c r="E17" s="16">
        <v>1988.84</v>
      </c>
      <c r="F17" s="17">
        <f t="shared" si="0"/>
        <v>0.0553496436353921</v>
      </c>
      <c r="G17" s="16">
        <v>16190.58</v>
      </c>
      <c r="H17" s="16">
        <v>17245.85</v>
      </c>
      <c r="I17" s="16">
        <v>33943.46</v>
      </c>
      <c r="J17" s="16">
        <v>17671.6</v>
      </c>
      <c r="K17" s="17">
        <f t="shared" si="1"/>
        <v>0.520618699449025</v>
      </c>
      <c r="L17" s="16">
        <f t="shared" si="2"/>
        <v>13.0567950581395</v>
      </c>
    </row>
    <row r="18" ht="15" customHeight="1" spans="1:12">
      <c r="A18" s="10" t="s">
        <v>26</v>
      </c>
      <c r="B18" s="11">
        <v>2539</v>
      </c>
      <c r="C18" s="11">
        <v>4085</v>
      </c>
      <c r="D18" s="12">
        <v>31845.3</v>
      </c>
      <c r="E18" s="12">
        <v>1670.96</v>
      </c>
      <c r="F18" s="13">
        <f t="shared" si="0"/>
        <v>0.0524711652896974</v>
      </c>
      <c r="G18" s="12">
        <v>14897.33</v>
      </c>
      <c r="H18" s="12">
        <v>15092.27</v>
      </c>
      <c r="I18" s="12">
        <v>30174.34</v>
      </c>
      <c r="J18" s="12">
        <v>15580.85</v>
      </c>
      <c r="K18" s="13">
        <f t="shared" si="1"/>
        <v>0.516360921233074</v>
      </c>
      <c r="L18" s="12">
        <f t="shared" si="2"/>
        <v>12.5424576604963</v>
      </c>
    </row>
    <row r="19" ht="15" spans="1:12">
      <c r="A19" s="14" t="s">
        <v>27</v>
      </c>
      <c r="B19" s="15">
        <v>2913</v>
      </c>
      <c r="C19" s="15">
        <v>4753</v>
      </c>
      <c r="D19" s="16">
        <v>35835.6</v>
      </c>
      <c r="E19" s="16">
        <v>2092.02</v>
      </c>
      <c r="F19" s="17">
        <f t="shared" si="0"/>
        <v>0.0583782607239728</v>
      </c>
      <c r="G19" s="16">
        <v>16278.15</v>
      </c>
      <c r="H19" s="16">
        <v>17244.26</v>
      </c>
      <c r="I19" s="16">
        <v>33743.58</v>
      </c>
      <c r="J19" s="16">
        <v>17251.93</v>
      </c>
      <c r="K19" s="17">
        <f t="shared" si="1"/>
        <v>0.511265550365432</v>
      </c>
      <c r="L19" s="16">
        <f t="shared" si="2"/>
        <v>12.3019567456231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2">
        <v>0</v>
      </c>
      <c r="C2" s="12">
        <v>0</v>
      </c>
      <c r="D2" s="12">
        <v>0</v>
      </c>
      <c r="E2" s="12">
        <v>0</v>
      </c>
      <c r="F2" s="13" t="str">
        <f t="shared" ref="F2:F19" si="0">IF(D2=0,"-",E2/D2)</f>
        <v>-</v>
      </c>
      <c r="G2" s="12">
        <v>0</v>
      </c>
      <c r="H2" s="12">
        <v>0</v>
      </c>
      <c r="I2" s="12">
        <v>0</v>
      </c>
      <c r="J2" s="12" t="str">
        <f>IF(I2=0,"-",I2-0)</f>
        <v>-</v>
      </c>
      <c r="K2" s="13" t="str">
        <f t="shared" ref="K2:K19" si="1">IF(I2=0,"-",J2/I2)</f>
        <v>-</v>
      </c>
      <c r="L2" s="12" t="str">
        <f t="shared" ref="L2:L19" si="2">IF(B2=0,"-",D2/B2)</f>
        <v>-</v>
      </c>
    </row>
    <row r="3" ht="15" customHeight="1" spans="1:12">
      <c r="A3" s="14" t="s">
        <v>11</v>
      </c>
      <c r="B3" s="16">
        <v>0</v>
      </c>
      <c r="C3" s="16">
        <v>0</v>
      </c>
      <c r="D3" s="16">
        <v>0</v>
      </c>
      <c r="E3" s="16">
        <v>0</v>
      </c>
      <c r="F3" s="17" t="str">
        <f t="shared" si="0"/>
        <v>-</v>
      </c>
      <c r="G3" s="16">
        <v>0</v>
      </c>
      <c r="H3" s="16">
        <v>0</v>
      </c>
      <c r="I3" s="16">
        <v>0</v>
      </c>
      <c r="J3" s="16" t="str">
        <f>IF(I3=0,"-",I3-0)</f>
        <v>-</v>
      </c>
      <c r="K3" s="17" t="str">
        <f t="shared" si="1"/>
        <v>-</v>
      </c>
      <c r="L3" s="16" t="str">
        <f t="shared" si="2"/>
        <v>-</v>
      </c>
    </row>
    <row r="4" ht="15" customHeight="1" spans="1:12">
      <c r="A4" s="10" t="s">
        <v>12</v>
      </c>
      <c r="B4" s="11">
        <v>838</v>
      </c>
      <c r="C4" s="11">
        <v>1374</v>
      </c>
      <c r="D4" s="12">
        <v>13655.6</v>
      </c>
      <c r="E4" s="12">
        <v>3495.02</v>
      </c>
      <c r="F4" s="13">
        <f t="shared" si="0"/>
        <v>0.255940420047453</v>
      </c>
      <c r="G4" s="12">
        <v>9555.78</v>
      </c>
      <c r="H4" s="12">
        <v>0</v>
      </c>
      <c r="I4" s="12">
        <v>10160.58</v>
      </c>
      <c r="J4" s="12">
        <v>4525.82</v>
      </c>
      <c r="K4" s="13">
        <f t="shared" si="1"/>
        <v>0.445429296359066</v>
      </c>
      <c r="L4" s="12">
        <f t="shared" si="2"/>
        <v>16.2954653937947</v>
      </c>
    </row>
    <row r="5" ht="15" customHeight="1" spans="1:12">
      <c r="A5" s="14" t="s">
        <v>13</v>
      </c>
      <c r="B5" s="15">
        <v>1819</v>
      </c>
      <c r="C5" s="15">
        <v>2911</v>
      </c>
      <c r="D5" s="16">
        <v>28414.1</v>
      </c>
      <c r="E5" s="16">
        <v>6100.3</v>
      </c>
      <c r="F5" s="17">
        <f t="shared" si="0"/>
        <v>0.214692705382187</v>
      </c>
      <c r="G5" s="16">
        <v>21496.9</v>
      </c>
      <c r="H5" s="16">
        <v>0</v>
      </c>
      <c r="I5" s="16">
        <v>22313.8</v>
      </c>
      <c r="J5" s="16">
        <v>9735.23</v>
      </c>
      <c r="K5" s="17">
        <f t="shared" si="1"/>
        <v>0.4362874095851</v>
      </c>
      <c r="L5" s="16">
        <f t="shared" si="2"/>
        <v>15.6207256734469</v>
      </c>
    </row>
    <row r="6" ht="15" customHeight="1" spans="1:12">
      <c r="A6" s="10" t="s">
        <v>14</v>
      </c>
      <c r="B6" s="11">
        <v>1854</v>
      </c>
      <c r="C6" s="11">
        <v>3087</v>
      </c>
      <c r="D6" s="12">
        <v>29856.3</v>
      </c>
      <c r="E6" s="12">
        <v>6690.27</v>
      </c>
      <c r="F6" s="13">
        <f t="shared" si="0"/>
        <v>0.224082354477949</v>
      </c>
      <c r="G6" s="12">
        <v>22598.33</v>
      </c>
      <c r="H6" s="12">
        <v>0</v>
      </c>
      <c r="I6" s="12">
        <v>23166.03</v>
      </c>
      <c r="J6" s="12">
        <v>10460.75</v>
      </c>
      <c r="K6" s="13">
        <f t="shared" si="1"/>
        <v>0.451555575124439</v>
      </c>
      <c r="L6" s="12">
        <f t="shared" si="2"/>
        <v>16.1037216828479</v>
      </c>
    </row>
    <row r="7" ht="15" customHeight="1" spans="1:12">
      <c r="A7" s="14" t="s">
        <v>15</v>
      </c>
      <c r="B7" s="15">
        <v>1320</v>
      </c>
      <c r="C7" s="15">
        <v>2266</v>
      </c>
      <c r="D7" s="16">
        <v>22130.9</v>
      </c>
      <c r="E7" s="16">
        <v>5691.24</v>
      </c>
      <c r="F7" s="17">
        <f t="shared" si="0"/>
        <v>0.257162609744746</v>
      </c>
      <c r="G7" s="16">
        <v>16365.66</v>
      </c>
      <c r="H7" s="16">
        <v>0</v>
      </c>
      <c r="I7" s="16">
        <v>16439.66</v>
      </c>
      <c r="J7" s="16">
        <v>7015.49</v>
      </c>
      <c r="K7" s="17">
        <f t="shared" si="1"/>
        <v>0.426741793930045</v>
      </c>
      <c r="L7" s="16">
        <f t="shared" si="2"/>
        <v>16.7658333333333</v>
      </c>
    </row>
    <row r="8" ht="15" customHeight="1" spans="1:12">
      <c r="A8" s="10" t="s">
        <v>16</v>
      </c>
      <c r="B8" s="11">
        <v>1530</v>
      </c>
      <c r="C8" s="11">
        <v>2798</v>
      </c>
      <c r="D8" s="12">
        <v>25715.9</v>
      </c>
      <c r="E8" s="12">
        <v>4197.24</v>
      </c>
      <c r="F8" s="13">
        <f t="shared" si="0"/>
        <v>0.163215753677686</v>
      </c>
      <c r="G8" s="12">
        <v>21508.76</v>
      </c>
      <c r="H8" s="12">
        <v>0</v>
      </c>
      <c r="I8" s="12">
        <v>21518.66</v>
      </c>
      <c r="J8" s="12">
        <v>9705.58</v>
      </c>
      <c r="K8" s="13">
        <f t="shared" si="1"/>
        <v>0.451030872740217</v>
      </c>
      <c r="L8" s="12">
        <f t="shared" si="2"/>
        <v>16.8077777777778</v>
      </c>
    </row>
    <row r="9" ht="15" customHeight="1" spans="1:12">
      <c r="A9" s="14" t="s">
        <v>17</v>
      </c>
      <c r="B9" s="15">
        <v>1614</v>
      </c>
      <c r="C9" s="15">
        <v>2994</v>
      </c>
      <c r="D9" s="16">
        <v>27282.7</v>
      </c>
      <c r="E9" s="16">
        <v>4128.96</v>
      </c>
      <c r="F9" s="17">
        <f t="shared" si="0"/>
        <v>0.151339860057839</v>
      </c>
      <c r="G9" s="16">
        <v>23057.84</v>
      </c>
      <c r="H9" s="16">
        <v>0</v>
      </c>
      <c r="I9" s="16">
        <v>23153.74</v>
      </c>
      <c r="J9" s="16">
        <v>10422.67</v>
      </c>
      <c r="K9" s="17">
        <f t="shared" si="1"/>
        <v>0.450150602019371</v>
      </c>
      <c r="L9" s="16">
        <f t="shared" si="2"/>
        <v>16.9037794299876</v>
      </c>
    </row>
    <row r="10" ht="15" customHeight="1" spans="1:12">
      <c r="A10" s="10" t="s">
        <v>18</v>
      </c>
      <c r="B10" s="11">
        <v>1421</v>
      </c>
      <c r="C10" s="11">
        <v>2611</v>
      </c>
      <c r="D10" s="12">
        <v>22256.3</v>
      </c>
      <c r="E10" s="12">
        <v>2796.97</v>
      </c>
      <c r="F10" s="13">
        <f t="shared" si="0"/>
        <v>0.125670933623289</v>
      </c>
      <c r="G10" s="12">
        <v>19433.53</v>
      </c>
      <c r="H10" s="12">
        <v>0</v>
      </c>
      <c r="I10" s="12">
        <v>19459.33</v>
      </c>
      <c r="J10" s="12">
        <v>9318.84</v>
      </c>
      <c r="K10" s="13">
        <f t="shared" si="1"/>
        <v>0.478888019268906</v>
      </c>
      <c r="L10" s="12">
        <f t="shared" si="2"/>
        <v>15.6624208304011</v>
      </c>
    </row>
    <row r="11" ht="15" customHeight="1" spans="1:12">
      <c r="A11" s="14" t="s">
        <v>19</v>
      </c>
      <c r="B11" s="15">
        <v>1582</v>
      </c>
      <c r="C11" s="15">
        <v>3020</v>
      </c>
      <c r="D11" s="16">
        <v>25561</v>
      </c>
      <c r="E11" s="16">
        <v>3196.68</v>
      </c>
      <c r="F11" s="17">
        <f t="shared" si="0"/>
        <v>0.125060834865616</v>
      </c>
      <c r="G11" s="16">
        <v>22164.72</v>
      </c>
      <c r="H11" s="16">
        <v>199.6</v>
      </c>
      <c r="I11" s="16">
        <v>22364.32</v>
      </c>
      <c r="J11" s="16">
        <v>11064.28</v>
      </c>
      <c r="K11" s="17">
        <f t="shared" si="1"/>
        <v>0.494729104216001</v>
      </c>
      <c r="L11" s="16">
        <f t="shared" si="2"/>
        <v>16.1573957016435</v>
      </c>
    </row>
    <row r="12" ht="15" customHeight="1" spans="1:12">
      <c r="A12" s="10" t="s">
        <v>20</v>
      </c>
      <c r="B12" s="11">
        <v>1977</v>
      </c>
      <c r="C12" s="11">
        <v>3693</v>
      </c>
      <c r="D12" s="12">
        <v>32464.7</v>
      </c>
      <c r="E12" s="12">
        <v>3760.9</v>
      </c>
      <c r="F12" s="13">
        <f t="shared" si="0"/>
        <v>0.115845826389894</v>
      </c>
      <c r="G12" s="12">
        <v>27649.4</v>
      </c>
      <c r="H12" s="12">
        <v>1016.6</v>
      </c>
      <c r="I12" s="12">
        <v>28703.8</v>
      </c>
      <c r="J12" s="12">
        <v>14612.39</v>
      </c>
      <c r="K12" s="13">
        <f t="shared" si="1"/>
        <v>0.509075105038357</v>
      </c>
      <c r="L12" s="12">
        <f t="shared" si="2"/>
        <v>16.4211937278705</v>
      </c>
    </row>
    <row r="13" ht="15" customHeight="1" spans="1:12">
      <c r="A13" s="14" t="s">
        <v>21</v>
      </c>
      <c r="B13" s="15">
        <v>1925</v>
      </c>
      <c r="C13" s="15">
        <v>3556</v>
      </c>
      <c r="D13" s="16">
        <v>31899</v>
      </c>
      <c r="E13" s="16">
        <v>3465.59</v>
      </c>
      <c r="F13" s="17">
        <f t="shared" si="0"/>
        <v>0.108642590676824</v>
      </c>
      <c r="G13" s="16">
        <v>28055.09</v>
      </c>
      <c r="H13" s="16">
        <v>363.32</v>
      </c>
      <c r="I13" s="16">
        <v>28433.41</v>
      </c>
      <c r="J13" s="16">
        <v>13641.99</v>
      </c>
      <c r="K13" s="17">
        <f t="shared" si="1"/>
        <v>0.479787334688312</v>
      </c>
      <c r="L13" s="16">
        <f t="shared" si="2"/>
        <v>16.5709090909091</v>
      </c>
    </row>
    <row r="14" ht="15" customHeight="1" spans="1:12">
      <c r="A14" s="10" t="s">
        <v>22</v>
      </c>
      <c r="B14" s="11">
        <v>1504</v>
      </c>
      <c r="C14" s="11">
        <v>2885</v>
      </c>
      <c r="D14" s="12">
        <v>24177</v>
      </c>
      <c r="E14" s="12">
        <v>2295.64</v>
      </c>
      <c r="F14" s="13">
        <f t="shared" si="0"/>
        <v>0.0949514000909956</v>
      </c>
      <c r="G14" s="12">
        <v>21881.36</v>
      </c>
      <c r="H14" s="12">
        <v>0</v>
      </c>
      <c r="I14" s="12">
        <v>21881.36</v>
      </c>
      <c r="J14" s="12">
        <v>11247.14</v>
      </c>
      <c r="K14" s="13">
        <f t="shared" si="1"/>
        <v>0.514005527992776</v>
      </c>
      <c r="L14" s="12">
        <f t="shared" si="2"/>
        <v>16.0751329787234</v>
      </c>
    </row>
    <row r="15" ht="15" customHeight="1" spans="1:12">
      <c r="A15" s="14" t="s">
        <v>23</v>
      </c>
      <c r="B15" s="15">
        <v>515</v>
      </c>
      <c r="C15" s="15">
        <v>970</v>
      </c>
      <c r="D15" s="16">
        <v>7627</v>
      </c>
      <c r="E15" s="16">
        <v>557.42</v>
      </c>
      <c r="F15" s="17">
        <f t="shared" si="0"/>
        <v>0.0730850924347712</v>
      </c>
      <c r="G15" s="16">
        <v>7059.68</v>
      </c>
      <c r="H15" s="16">
        <v>9.9</v>
      </c>
      <c r="I15" s="16">
        <v>7069.58</v>
      </c>
      <c r="J15" s="16">
        <v>3739.83</v>
      </c>
      <c r="K15" s="17">
        <f t="shared" si="1"/>
        <v>0.529003137385814</v>
      </c>
      <c r="L15" s="16">
        <f t="shared" si="2"/>
        <v>14.8097087378641</v>
      </c>
    </row>
    <row r="16" ht="15" customHeight="1" spans="1:12">
      <c r="A16" s="10" t="s">
        <v>24</v>
      </c>
      <c r="B16" s="11">
        <v>1458</v>
      </c>
      <c r="C16" s="11">
        <v>2696</v>
      </c>
      <c r="D16" s="12">
        <v>21665.3</v>
      </c>
      <c r="E16" s="12">
        <v>1737.83</v>
      </c>
      <c r="F16" s="13">
        <f t="shared" si="0"/>
        <v>0.0802125980254139</v>
      </c>
      <c r="G16" s="12">
        <v>19927.47</v>
      </c>
      <c r="H16" s="12">
        <v>0</v>
      </c>
      <c r="I16" s="12">
        <v>19927.47</v>
      </c>
      <c r="J16" s="12">
        <v>9693.79</v>
      </c>
      <c r="K16" s="13">
        <f t="shared" si="1"/>
        <v>0.486453624067681</v>
      </c>
      <c r="L16" s="12">
        <f t="shared" si="2"/>
        <v>14.8596021947874</v>
      </c>
    </row>
    <row r="17" ht="15" customHeight="1" spans="1:12">
      <c r="A17" s="14" t="s">
        <v>25</v>
      </c>
      <c r="B17" s="15">
        <v>1614</v>
      </c>
      <c r="C17" s="15">
        <v>2978</v>
      </c>
      <c r="D17" s="16">
        <v>23549.9</v>
      </c>
      <c r="E17" s="16">
        <v>1987.51</v>
      </c>
      <c r="F17" s="17">
        <f t="shared" si="0"/>
        <v>0.0843956874551484</v>
      </c>
      <c r="G17" s="16">
        <v>21530.59</v>
      </c>
      <c r="H17" s="16">
        <v>0</v>
      </c>
      <c r="I17" s="16">
        <v>21562.39</v>
      </c>
      <c r="J17" s="16">
        <v>10444.49</v>
      </c>
      <c r="K17" s="17">
        <f t="shared" si="1"/>
        <v>0.484384615991084</v>
      </c>
      <c r="L17" s="16">
        <f t="shared" si="2"/>
        <v>14.5910161090458</v>
      </c>
    </row>
    <row r="18" ht="15" customHeight="1" spans="1:12">
      <c r="A18" s="10" t="s">
        <v>26</v>
      </c>
      <c r="B18" s="11">
        <v>1693</v>
      </c>
      <c r="C18" s="11">
        <v>3075</v>
      </c>
      <c r="D18" s="12">
        <v>24078.9</v>
      </c>
      <c r="E18" s="12">
        <v>2093.18</v>
      </c>
      <c r="F18" s="13">
        <f t="shared" si="0"/>
        <v>0.0869300507913567</v>
      </c>
      <c r="G18" s="12">
        <v>21985.72</v>
      </c>
      <c r="H18" s="12">
        <v>0</v>
      </c>
      <c r="I18" s="12">
        <v>21985.72</v>
      </c>
      <c r="J18" s="12">
        <v>10744.11</v>
      </c>
      <c r="K18" s="13">
        <f t="shared" si="1"/>
        <v>0.488685837898418</v>
      </c>
      <c r="L18" s="12">
        <f t="shared" si="2"/>
        <v>14.2226225634968</v>
      </c>
    </row>
    <row r="19" ht="15" spans="1:12">
      <c r="A19" s="14" t="s">
        <v>27</v>
      </c>
      <c r="B19" s="15">
        <v>2076</v>
      </c>
      <c r="C19" s="15">
        <v>3649</v>
      </c>
      <c r="D19" s="16">
        <v>26687.3</v>
      </c>
      <c r="E19" s="16">
        <v>1963.46</v>
      </c>
      <c r="F19" s="17">
        <f t="shared" si="0"/>
        <v>0.073572823028182</v>
      </c>
      <c r="G19" s="16">
        <v>24723.84</v>
      </c>
      <c r="H19" s="16">
        <v>0</v>
      </c>
      <c r="I19" s="16">
        <v>24723.84</v>
      </c>
      <c r="J19" s="16">
        <v>12203.6</v>
      </c>
      <c r="K19" s="17">
        <f t="shared" si="1"/>
        <v>0.493596463979705</v>
      </c>
      <c r="L19" s="16">
        <f t="shared" si="2"/>
        <v>12.8551541425819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370</v>
      </c>
      <c r="C2" s="11">
        <v>613</v>
      </c>
      <c r="D2" s="12">
        <v>6671.5</v>
      </c>
      <c r="E2" s="12">
        <v>1186.49</v>
      </c>
      <c r="F2" s="13">
        <f t="shared" ref="F2:F19" si="0">IF(D2=0,"-",E2/D2)</f>
        <v>0.177844562692048</v>
      </c>
      <c r="G2" s="12">
        <v>3802.75</v>
      </c>
      <c r="H2" s="12">
        <v>1682.26</v>
      </c>
      <c r="I2" s="12">
        <v>5485.01</v>
      </c>
      <c r="J2" s="12">
        <v>2769.33</v>
      </c>
      <c r="K2" s="13">
        <f t="shared" ref="K2:K19" si="1">IF(I2=0,"-",J2/I2)</f>
        <v>0.504890601840288</v>
      </c>
      <c r="L2" s="12">
        <f t="shared" ref="L2:L19" si="2">IF(B2=0,"-",D2/B2)</f>
        <v>18.0310810810811</v>
      </c>
    </row>
    <row r="3" ht="15" customHeight="1" spans="1:12">
      <c r="A3" s="14" t="s">
        <v>11</v>
      </c>
      <c r="B3" s="15">
        <v>612</v>
      </c>
      <c r="C3" s="15">
        <v>1027</v>
      </c>
      <c r="D3" s="16">
        <v>9121.3</v>
      </c>
      <c r="E3" s="16">
        <v>1464.55</v>
      </c>
      <c r="F3" s="17">
        <f t="shared" si="0"/>
        <v>0.160563735432449</v>
      </c>
      <c r="G3" s="16">
        <v>1169.09</v>
      </c>
      <c r="H3" s="16">
        <v>6487.66</v>
      </c>
      <c r="I3" s="16">
        <v>7656.75</v>
      </c>
      <c r="J3" s="16">
        <v>3442.82</v>
      </c>
      <c r="K3" s="17">
        <f t="shared" si="1"/>
        <v>0.449645084402651</v>
      </c>
      <c r="L3" s="16">
        <f t="shared" si="2"/>
        <v>14.9040849673203</v>
      </c>
    </row>
    <row r="4" ht="15" customHeight="1" spans="1:12">
      <c r="A4" s="10" t="s">
        <v>12</v>
      </c>
      <c r="B4" s="11">
        <v>1208</v>
      </c>
      <c r="C4" s="11">
        <v>2075</v>
      </c>
      <c r="D4" s="12">
        <v>20580.6</v>
      </c>
      <c r="E4" s="12">
        <v>5772.2</v>
      </c>
      <c r="F4" s="13">
        <f t="shared" si="0"/>
        <v>0.280468013566174</v>
      </c>
      <c r="G4" s="12">
        <v>2524.06</v>
      </c>
      <c r="H4" s="12">
        <v>11873.26</v>
      </c>
      <c r="I4" s="12">
        <v>14808.4</v>
      </c>
      <c r="J4" s="12">
        <v>5966.08</v>
      </c>
      <c r="K4" s="13">
        <f t="shared" si="1"/>
        <v>0.402884849139677</v>
      </c>
      <c r="L4" s="12">
        <f t="shared" si="2"/>
        <v>17.0369205298013</v>
      </c>
    </row>
    <row r="5" ht="15" customHeight="1" spans="1:12">
      <c r="A5" s="14" t="s">
        <v>13</v>
      </c>
      <c r="B5" s="15">
        <v>1738</v>
      </c>
      <c r="C5" s="15">
        <v>2711</v>
      </c>
      <c r="D5" s="16">
        <v>24579.2</v>
      </c>
      <c r="E5" s="16">
        <v>2791.62</v>
      </c>
      <c r="F5" s="17">
        <f t="shared" si="0"/>
        <v>0.113576519984377</v>
      </c>
      <c r="G5" s="16">
        <v>4525.84</v>
      </c>
      <c r="H5" s="16">
        <v>16857.82</v>
      </c>
      <c r="I5" s="16">
        <v>21787.58</v>
      </c>
      <c r="J5" s="16">
        <v>10343.97</v>
      </c>
      <c r="K5" s="17">
        <f t="shared" si="1"/>
        <v>0.474764521805542</v>
      </c>
      <c r="L5" s="16">
        <f t="shared" si="2"/>
        <v>14.1422324510932</v>
      </c>
    </row>
    <row r="6" ht="15" customHeight="1" spans="1:12">
      <c r="A6" s="10" t="s">
        <v>14</v>
      </c>
      <c r="B6" s="11">
        <v>1589</v>
      </c>
      <c r="C6" s="11">
        <v>2564</v>
      </c>
      <c r="D6" s="12">
        <v>23898.7</v>
      </c>
      <c r="E6" s="12">
        <v>3631.22</v>
      </c>
      <c r="F6" s="13">
        <f t="shared" si="0"/>
        <v>0.151942155849481</v>
      </c>
      <c r="G6" s="12">
        <v>3635.56</v>
      </c>
      <c r="H6" s="12">
        <v>16390.89</v>
      </c>
      <c r="I6" s="12">
        <v>20267.48</v>
      </c>
      <c r="J6" s="12">
        <v>9326.37</v>
      </c>
      <c r="K6" s="13">
        <f t="shared" si="1"/>
        <v>0.460164263144703</v>
      </c>
      <c r="L6" s="12">
        <f t="shared" si="2"/>
        <v>15.0400881057269</v>
      </c>
    </row>
    <row r="7" ht="15" customHeight="1" spans="1:12">
      <c r="A7" s="14" t="s">
        <v>15</v>
      </c>
      <c r="B7" s="15">
        <v>1600</v>
      </c>
      <c r="C7" s="15">
        <v>2527</v>
      </c>
      <c r="D7" s="16">
        <v>22480.6</v>
      </c>
      <c r="E7" s="16">
        <v>2074.98</v>
      </c>
      <c r="F7" s="17">
        <f t="shared" si="0"/>
        <v>0.0923009172353051</v>
      </c>
      <c r="G7" s="16">
        <v>2519.19</v>
      </c>
      <c r="H7" s="16">
        <v>17508.03</v>
      </c>
      <c r="I7" s="16">
        <v>20405.62</v>
      </c>
      <c r="J7" s="16">
        <v>9428.79</v>
      </c>
      <c r="K7" s="17">
        <f t="shared" si="1"/>
        <v>0.462068292950668</v>
      </c>
      <c r="L7" s="16">
        <f t="shared" si="2"/>
        <v>14.050375</v>
      </c>
    </row>
    <row r="8" ht="15" customHeight="1" spans="1:12">
      <c r="A8" s="10" t="s">
        <v>16</v>
      </c>
      <c r="B8" s="11">
        <v>1796</v>
      </c>
      <c r="C8" s="11">
        <v>3065</v>
      </c>
      <c r="D8" s="12">
        <v>24178.1</v>
      </c>
      <c r="E8" s="12">
        <v>1104.36</v>
      </c>
      <c r="F8" s="13">
        <f t="shared" si="0"/>
        <v>0.0456760456777001</v>
      </c>
      <c r="G8" s="12">
        <v>2639.29</v>
      </c>
      <c r="H8" s="12">
        <v>20292.95</v>
      </c>
      <c r="I8" s="12">
        <v>23073.74</v>
      </c>
      <c r="J8" s="12">
        <v>10727.74</v>
      </c>
      <c r="K8" s="13">
        <f t="shared" si="1"/>
        <v>0.464932863072913</v>
      </c>
      <c r="L8" s="12">
        <f t="shared" si="2"/>
        <v>13.4621937639198</v>
      </c>
    </row>
    <row r="9" ht="15" customHeight="1" spans="1:12">
      <c r="A9" s="14" t="s">
        <v>17</v>
      </c>
      <c r="B9" s="15">
        <v>1470</v>
      </c>
      <c r="C9" s="15">
        <v>2440</v>
      </c>
      <c r="D9" s="16">
        <v>18975.3</v>
      </c>
      <c r="E9" s="16">
        <v>658.1</v>
      </c>
      <c r="F9" s="17">
        <f t="shared" si="0"/>
        <v>0.0346819286124594</v>
      </c>
      <c r="G9" s="16">
        <v>1112.95</v>
      </c>
      <c r="H9" s="16">
        <v>16932.35</v>
      </c>
      <c r="I9" s="16">
        <v>18317.2</v>
      </c>
      <c r="J9" s="16">
        <v>8567.21</v>
      </c>
      <c r="K9" s="17">
        <f t="shared" si="1"/>
        <v>0.467713951914048</v>
      </c>
      <c r="L9" s="16">
        <f t="shared" si="2"/>
        <v>12.9083673469388</v>
      </c>
    </row>
    <row r="10" ht="15" customHeight="1" spans="1:12">
      <c r="A10" s="10" t="s">
        <v>18</v>
      </c>
      <c r="B10" s="11">
        <v>2031</v>
      </c>
      <c r="C10" s="11">
        <v>3545</v>
      </c>
      <c r="D10" s="12">
        <v>26109.7</v>
      </c>
      <c r="E10" s="12">
        <v>959.78</v>
      </c>
      <c r="F10" s="13">
        <f t="shared" si="0"/>
        <v>0.0367595184931271</v>
      </c>
      <c r="G10" s="12">
        <v>3271.09</v>
      </c>
      <c r="H10" s="12">
        <v>21774.33</v>
      </c>
      <c r="I10" s="12">
        <v>25149.92</v>
      </c>
      <c r="J10" s="12">
        <v>12256.69</v>
      </c>
      <c r="K10" s="13">
        <f t="shared" si="1"/>
        <v>0.487345088970462</v>
      </c>
      <c r="L10" s="12">
        <f t="shared" si="2"/>
        <v>12.8555883801083</v>
      </c>
    </row>
    <row r="11" ht="15" customHeight="1" spans="1:12">
      <c r="A11" s="14" t="s">
        <v>19</v>
      </c>
      <c r="B11" s="15">
        <v>1777</v>
      </c>
      <c r="C11" s="15">
        <v>3106</v>
      </c>
      <c r="D11" s="16">
        <v>24029.7</v>
      </c>
      <c r="E11" s="16">
        <v>545.11</v>
      </c>
      <c r="F11" s="17">
        <f t="shared" si="0"/>
        <v>0.0226848441720038</v>
      </c>
      <c r="G11" s="16">
        <v>3169.27</v>
      </c>
      <c r="H11" s="16">
        <v>20266.42</v>
      </c>
      <c r="I11" s="16">
        <v>23484.59</v>
      </c>
      <c r="J11" s="16">
        <v>12843.54</v>
      </c>
      <c r="K11" s="17">
        <f t="shared" si="1"/>
        <v>0.546892238697801</v>
      </c>
      <c r="L11" s="16">
        <f t="shared" si="2"/>
        <v>13.5226223972988</v>
      </c>
    </row>
    <row r="12" ht="15" customHeight="1" spans="1:12">
      <c r="A12" s="10" t="s">
        <v>20</v>
      </c>
      <c r="B12" s="11">
        <v>1929</v>
      </c>
      <c r="C12" s="11">
        <v>3166</v>
      </c>
      <c r="D12" s="12">
        <v>25570.5</v>
      </c>
      <c r="E12" s="12">
        <v>920.19</v>
      </c>
      <c r="F12" s="13">
        <f t="shared" si="0"/>
        <v>0.0359863905672552</v>
      </c>
      <c r="G12" s="12">
        <v>4219.87</v>
      </c>
      <c r="H12" s="12">
        <v>20349.54</v>
      </c>
      <c r="I12" s="12">
        <v>24650.31</v>
      </c>
      <c r="J12" s="12">
        <v>14047.02</v>
      </c>
      <c r="K12" s="13">
        <f t="shared" si="1"/>
        <v>0.569851657037984</v>
      </c>
      <c r="L12" s="12">
        <f t="shared" si="2"/>
        <v>13.255832037325</v>
      </c>
    </row>
    <row r="13" ht="15" customHeight="1" spans="1:12">
      <c r="A13" s="14" t="s">
        <v>21</v>
      </c>
      <c r="B13" s="15">
        <v>2306</v>
      </c>
      <c r="C13" s="15">
        <v>3928</v>
      </c>
      <c r="D13" s="16">
        <v>30868.9</v>
      </c>
      <c r="E13" s="16">
        <v>1485.08</v>
      </c>
      <c r="F13" s="17">
        <f t="shared" si="0"/>
        <v>0.0481092620728306</v>
      </c>
      <c r="G13" s="16">
        <v>5881.56</v>
      </c>
      <c r="H13" s="16">
        <v>22799.56</v>
      </c>
      <c r="I13" s="16">
        <v>29383.82</v>
      </c>
      <c r="J13" s="16">
        <v>15921.51</v>
      </c>
      <c r="K13" s="17">
        <f t="shared" si="1"/>
        <v>0.541846158872468</v>
      </c>
      <c r="L13" s="16">
        <f t="shared" si="2"/>
        <v>13.3863399826539</v>
      </c>
    </row>
    <row r="14" ht="15" customHeight="1" spans="1:12">
      <c r="A14" s="10" t="s">
        <v>22</v>
      </c>
      <c r="B14" s="11">
        <v>1617</v>
      </c>
      <c r="C14" s="11">
        <v>2766</v>
      </c>
      <c r="D14" s="12">
        <v>20635.1</v>
      </c>
      <c r="E14" s="12">
        <v>576.24</v>
      </c>
      <c r="F14" s="13">
        <f t="shared" si="0"/>
        <v>0.027925234188349</v>
      </c>
      <c r="G14" s="12">
        <v>3548.77</v>
      </c>
      <c r="H14" s="12">
        <v>16199.39</v>
      </c>
      <c r="I14" s="12">
        <v>20058.86</v>
      </c>
      <c r="J14" s="12">
        <v>11411.2</v>
      </c>
      <c r="K14" s="13">
        <f t="shared" si="1"/>
        <v>0.568885769181299</v>
      </c>
      <c r="L14" s="12">
        <f t="shared" si="2"/>
        <v>12.7613481756339</v>
      </c>
    </row>
    <row r="15" ht="15" customHeight="1" spans="1:12">
      <c r="A15" s="14" t="s">
        <v>23</v>
      </c>
      <c r="B15" s="15">
        <v>654</v>
      </c>
      <c r="C15" s="15">
        <v>1085</v>
      </c>
      <c r="D15" s="16">
        <v>7463.9</v>
      </c>
      <c r="E15" s="16">
        <v>85.04</v>
      </c>
      <c r="F15" s="17">
        <f t="shared" si="0"/>
        <v>0.0113935074156942</v>
      </c>
      <c r="G15" s="16">
        <v>223.62</v>
      </c>
      <c r="H15" s="16">
        <v>7141.84</v>
      </c>
      <c r="I15" s="16">
        <v>7378.86</v>
      </c>
      <c r="J15" s="16">
        <v>4357.56</v>
      </c>
      <c r="K15" s="17">
        <f t="shared" si="1"/>
        <v>0.590546507184037</v>
      </c>
      <c r="L15" s="16">
        <f t="shared" si="2"/>
        <v>11.4126911314985</v>
      </c>
    </row>
    <row r="16" ht="15" customHeight="1" spans="1:12">
      <c r="A16" s="10" t="s">
        <v>24</v>
      </c>
      <c r="B16" s="11">
        <v>1384</v>
      </c>
      <c r="C16" s="11">
        <v>2203</v>
      </c>
      <c r="D16" s="12">
        <v>16338.1</v>
      </c>
      <c r="E16" s="12">
        <v>367.38</v>
      </c>
      <c r="F16" s="13">
        <f t="shared" si="0"/>
        <v>0.0224860907939112</v>
      </c>
      <c r="G16" s="12">
        <v>1611.98</v>
      </c>
      <c r="H16" s="12">
        <v>14213.94</v>
      </c>
      <c r="I16" s="12">
        <v>15970.72</v>
      </c>
      <c r="J16" s="12">
        <v>8342.25</v>
      </c>
      <c r="K16" s="13">
        <f t="shared" si="1"/>
        <v>0.522346519130008</v>
      </c>
      <c r="L16" s="12">
        <f t="shared" si="2"/>
        <v>11.8049855491329</v>
      </c>
    </row>
    <row r="17" ht="15" customHeight="1" spans="1:12">
      <c r="A17" s="14" t="s">
        <v>25</v>
      </c>
      <c r="B17" s="15">
        <v>1791</v>
      </c>
      <c r="C17" s="15">
        <v>2798</v>
      </c>
      <c r="D17" s="16">
        <v>20762.4</v>
      </c>
      <c r="E17" s="16">
        <v>504.41</v>
      </c>
      <c r="F17" s="17">
        <f t="shared" si="0"/>
        <v>0.0242943975648287</v>
      </c>
      <c r="G17" s="16">
        <v>4067.49</v>
      </c>
      <c r="H17" s="16">
        <v>16103.5</v>
      </c>
      <c r="I17" s="16">
        <v>20257.99</v>
      </c>
      <c r="J17" s="16">
        <v>10607.68</v>
      </c>
      <c r="K17" s="17">
        <f t="shared" si="1"/>
        <v>0.523629442012756</v>
      </c>
      <c r="L17" s="16">
        <f t="shared" si="2"/>
        <v>11.5926298157454</v>
      </c>
    </row>
    <row r="18" ht="15" customHeight="1" spans="1:12">
      <c r="A18" s="10" t="s">
        <v>26</v>
      </c>
      <c r="B18" s="11">
        <v>1843</v>
      </c>
      <c r="C18" s="11">
        <v>2931</v>
      </c>
      <c r="D18" s="12">
        <v>20802.7</v>
      </c>
      <c r="E18" s="12">
        <v>1013.69</v>
      </c>
      <c r="F18" s="13">
        <f t="shared" si="0"/>
        <v>0.0487287707845616</v>
      </c>
      <c r="G18" s="12">
        <v>3989.79</v>
      </c>
      <c r="H18" s="12">
        <v>15799.22</v>
      </c>
      <c r="I18" s="12">
        <v>19789.01</v>
      </c>
      <c r="J18" s="12">
        <v>9964.57</v>
      </c>
      <c r="K18" s="13">
        <f t="shared" si="1"/>
        <v>0.50354060157633</v>
      </c>
      <c r="L18" s="12">
        <f t="shared" si="2"/>
        <v>11.2874118285404</v>
      </c>
    </row>
    <row r="19" ht="15" spans="1:12">
      <c r="A19" s="14" t="s">
        <v>27</v>
      </c>
      <c r="B19" s="15">
        <v>2023</v>
      </c>
      <c r="C19" s="15">
        <v>3358</v>
      </c>
      <c r="D19" s="16">
        <v>23819.4</v>
      </c>
      <c r="E19" s="16">
        <v>1276.41</v>
      </c>
      <c r="F19" s="17">
        <f t="shared" si="0"/>
        <v>0.0535869921156704</v>
      </c>
      <c r="G19" s="16">
        <v>4852.12</v>
      </c>
      <c r="H19" s="16">
        <v>17627.87</v>
      </c>
      <c r="I19" s="16">
        <v>22542.99</v>
      </c>
      <c r="J19" s="16">
        <v>11161.89</v>
      </c>
      <c r="K19" s="17">
        <f t="shared" si="1"/>
        <v>0.495137956411283</v>
      </c>
      <c r="L19" s="16">
        <f t="shared" si="2"/>
        <v>11.7742956005932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537</v>
      </c>
      <c r="C2" s="11">
        <v>867</v>
      </c>
      <c r="D2" s="12">
        <v>9405.1</v>
      </c>
      <c r="E2" s="12">
        <v>1907.81</v>
      </c>
      <c r="F2" s="13">
        <f t="shared" ref="F2:F19" si="0">IF(D2=0,"-",E2/D2)</f>
        <v>0.202848454561887</v>
      </c>
      <c r="G2" s="12">
        <v>5954</v>
      </c>
      <c r="H2" s="12">
        <v>1543.29</v>
      </c>
      <c r="I2" s="12">
        <v>7497.29</v>
      </c>
      <c r="J2" s="12">
        <v>3563.36</v>
      </c>
      <c r="K2" s="13">
        <f t="shared" ref="K2:K19" si="1">IF(I2=0,"-",J2/I2)</f>
        <v>0.475286403487127</v>
      </c>
      <c r="L2" s="12">
        <f t="shared" ref="L2:L19" si="2">IF(B2=0,"-",D2/B2)</f>
        <v>17.5141527001862</v>
      </c>
    </row>
    <row r="3" ht="15" customHeight="1" spans="1:12">
      <c r="A3" s="14" t="s">
        <v>11</v>
      </c>
      <c r="B3" s="15">
        <v>890</v>
      </c>
      <c r="C3" s="15">
        <v>1525</v>
      </c>
      <c r="D3" s="16">
        <v>14726.5</v>
      </c>
      <c r="E3" s="16">
        <v>2519.75</v>
      </c>
      <c r="F3" s="17">
        <f t="shared" si="0"/>
        <v>0.171103113434964</v>
      </c>
      <c r="G3" s="16">
        <v>6493.98</v>
      </c>
      <c r="H3" s="16">
        <v>5697.87</v>
      </c>
      <c r="I3" s="16">
        <v>12206.75</v>
      </c>
      <c r="J3" s="16">
        <v>5698.46</v>
      </c>
      <c r="K3" s="17">
        <f t="shared" si="1"/>
        <v>0.466828598930919</v>
      </c>
      <c r="L3" s="16">
        <f t="shared" si="2"/>
        <v>16.5466292134831</v>
      </c>
    </row>
    <row r="4" ht="15" customHeight="1" spans="1:12">
      <c r="A4" s="10" t="s">
        <v>12</v>
      </c>
      <c r="B4" s="11">
        <v>2088</v>
      </c>
      <c r="C4" s="11">
        <v>3745</v>
      </c>
      <c r="D4" s="12">
        <v>38027.2</v>
      </c>
      <c r="E4" s="12">
        <v>9447.98</v>
      </c>
      <c r="F4" s="13">
        <f t="shared" si="0"/>
        <v>0.248453212437413</v>
      </c>
      <c r="G4" s="12">
        <v>7259.2</v>
      </c>
      <c r="H4" s="12">
        <v>19533.93</v>
      </c>
      <c r="I4" s="12">
        <v>28579.22</v>
      </c>
      <c r="J4" s="12">
        <v>12480.31</v>
      </c>
      <c r="K4" s="13">
        <f t="shared" si="1"/>
        <v>0.436691764155915</v>
      </c>
      <c r="L4" s="12">
        <f t="shared" si="2"/>
        <v>18.2122605363985</v>
      </c>
    </row>
    <row r="5" ht="15" customHeight="1" spans="1:12">
      <c r="A5" s="14" t="s">
        <v>13</v>
      </c>
      <c r="B5" s="15">
        <v>2571</v>
      </c>
      <c r="C5" s="15">
        <v>4598</v>
      </c>
      <c r="D5" s="16">
        <v>45960.4</v>
      </c>
      <c r="E5" s="16">
        <v>10951.55</v>
      </c>
      <c r="F5" s="17">
        <f t="shared" si="0"/>
        <v>0.238282303896398</v>
      </c>
      <c r="G5" s="16">
        <v>6874.76</v>
      </c>
      <c r="H5" s="16">
        <v>25636.89</v>
      </c>
      <c r="I5" s="16">
        <v>35008.85</v>
      </c>
      <c r="J5" s="16">
        <v>14869.81</v>
      </c>
      <c r="K5" s="17">
        <f t="shared" si="1"/>
        <v>0.424744314651867</v>
      </c>
      <c r="L5" s="16">
        <f t="shared" si="2"/>
        <v>17.8764683002723</v>
      </c>
    </row>
    <row r="6" ht="15" customHeight="1" spans="1:12">
      <c r="A6" s="10" t="s">
        <v>14</v>
      </c>
      <c r="B6" s="11">
        <v>2491</v>
      </c>
      <c r="C6" s="11">
        <v>4407</v>
      </c>
      <c r="D6" s="12">
        <v>43396.4</v>
      </c>
      <c r="E6" s="12">
        <v>10880.2</v>
      </c>
      <c r="F6" s="13">
        <f t="shared" si="0"/>
        <v>0.250716649307316</v>
      </c>
      <c r="G6" s="12">
        <v>7327.84</v>
      </c>
      <c r="H6" s="12">
        <v>22953.18</v>
      </c>
      <c r="I6" s="12">
        <v>32516.2</v>
      </c>
      <c r="J6" s="12">
        <v>13774.76</v>
      </c>
      <c r="K6" s="13">
        <f t="shared" si="1"/>
        <v>0.423627607161969</v>
      </c>
      <c r="L6" s="12">
        <f t="shared" si="2"/>
        <v>17.4212765957447</v>
      </c>
    </row>
    <row r="7" ht="15" customHeight="1" spans="1:12">
      <c r="A7" s="14" t="s">
        <v>15</v>
      </c>
      <c r="B7" s="15">
        <v>2257</v>
      </c>
      <c r="C7" s="15">
        <v>4068</v>
      </c>
      <c r="D7" s="16">
        <v>38396.9</v>
      </c>
      <c r="E7" s="16">
        <v>7851.15</v>
      </c>
      <c r="F7" s="17">
        <f t="shared" si="0"/>
        <v>0.204473538228347</v>
      </c>
      <c r="G7" s="16">
        <v>4151.15</v>
      </c>
      <c r="H7" s="16">
        <v>24822.95</v>
      </c>
      <c r="I7" s="16">
        <v>30545.75</v>
      </c>
      <c r="J7" s="16">
        <v>13366.52</v>
      </c>
      <c r="K7" s="17">
        <f t="shared" si="1"/>
        <v>0.437590172118871</v>
      </c>
      <c r="L7" s="16">
        <f t="shared" si="2"/>
        <v>17.0123615418697</v>
      </c>
    </row>
    <row r="8" ht="15" customHeight="1" spans="1:12">
      <c r="A8" s="10" t="s">
        <v>16</v>
      </c>
      <c r="B8" s="11">
        <v>3063</v>
      </c>
      <c r="C8" s="11">
        <v>5621</v>
      </c>
      <c r="D8" s="12">
        <v>51613.6</v>
      </c>
      <c r="E8" s="12">
        <v>9431.03</v>
      </c>
      <c r="F8" s="13">
        <f t="shared" si="0"/>
        <v>0.182723739479517</v>
      </c>
      <c r="G8" s="12">
        <v>5498.73</v>
      </c>
      <c r="H8" s="12">
        <v>34521.19</v>
      </c>
      <c r="I8" s="12">
        <v>42182.57</v>
      </c>
      <c r="J8" s="12">
        <v>17502.74</v>
      </c>
      <c r="K8" s="13">
        <f t="shared" si="1"/>
        <v>0.414928251171041</v>
      </c>
      <c r="L8" s="12">
        <f t="shared" si="2"/>
        <v>16.8506692784851</v>
      </c>
    </row>
    <row r="9" ht="15" customHeight="1" spans="1:12">
      <c r="A9" s="14" t="s">
        <v>17</v>
      </c>
      <c r="B9" s="15">
        <v>2664</v>
      </c>
      <c r="C9" s="15">
        <v>4964</v>
      </c>
      <c r="D9" s="16">
        <v>43393.5</v>
      </c>
      <c r="E9" s="16">
        <v>5379.94</v>
      </c>
      <c r="F9" s="17">
        <f t="shared" si="0"/>
        <v>0.123980319633125</v>
      </c>
      <c r="G9" s="16">
        <v>5638.21</v>
      </c>
      <c r="H9" s="16">
        <v>30589.86</v>
      </c>
      <c r="I9" s="16">
        <v>38013.56</v>
      </c>
      <c r="J9" s="16">
        <v>16969.38</v>
      </c>
      <c r="K9" s="17">
        <f t="shared" si="1"/>
        <v>0.446403336072707</v>
      </c>
      <c r="L9" s="16">
        <f t="shared" si="2"/>
        <v>16.2888513513514</v>
      </c>
    </row>
    <row r="10" ht="15" customHeight="1" spans="1:12">
      <c r="A10" s="10" t="s">
        <v>18</v>
      </c>
      <c r="B10" s="11">
        <v>2300</v>
      </c>
      <c r="C10" s="11">
        <v>3992</v>
      </c>
      <c r="D10" s="12">
        <v>33515.3</v>
      </c>
      <c r="E10" s="12">
        <v>2605.48</v>
      </c>
      <c r="F10" s="13">
        <f t="shared" si="0"/>
        <v>0.0777400172458549</v>
      </c>
      <c r="G10" s="12">
        <v>3352.43</v>
      </c>
      <c r="H10" s="12">
        <v>26438.96</v>
      </c>
      <c r="I10" s="12">
        <v>30909.82</v>
      </c>
      <c r="J10" s="12">
        <v>15464.72</v>
      </c>
      <c r="K10" s="13">
        <f t="shared" si="1"/>
        <v>0.500317374866628</v>
      </c>
      <c r="L10" s="12">
        <f t="shared" si="2"/>
        <v>14.5718695652174</v>
      </c>
    </row>
    <row r="11" ht="15" customHeight="1" spans="1:12">
      <c r="A11" s="14" t="s">
        <v>19</v>
      </c>
      <c r="B11" s="15">
        <v>1647</v>
      </c>
      <c r="C11" s="15">
        <v>2917</v>
      </c>
      <c r="D11" s="16">
        <v>23430</v>
      </c>
      <c r="E11" s="16">
        <v>1393.89</v>
      </c>
      <c r="F11" s="17">
        <f t="shared" si="0"/>
        <v>0.0594916773367478</v>
      </c>
      <c r="G11" s="16">
        <v>1721.28</v>
      </c>
      <c r="H11" s="16">
        <v>19794.59</v>
      </c>
      <c r="I11" s="16">
        <v>22036.11</v>
      </c>
      <c r="J11" s="16">
        <v>11823.13</v>
      </c>
      <c r="K11" s="17">
        <f t="shared" si="1"/>
        <v>0.536534352024926</v>
      </c>
      <c r="L11" s="16">
        <f t="shared" si="2"/>
        <v>14.2258652094718</v>
      </c>
    </row>
    <row r="12" ht="15" customHeight="1" spans="1:12">
      <c r="A12" s="10" t="s">
        <v>20</v>
      </c>
      <c r="B12" s="11">
        <v>1799</v>
      </c>
      <c r="C12" s="11">
        <v>3257</v>
      </c>
      <c r="D12" s="12">
        <v>26815.7</v>
      </c>
      <c r="E12" s="12">
        <v>2378.1</v>
      </c>
      <c r="F12" s="13">
        <f t="shared" si="0"/>
        <v>0.0886831222008003</v>
      </c>
      <c r="G12" s="12">
        <v>3208.13</v>
      </c>
      <c r="H12" s="12">
        <v>20471.85</v>
      </c>
      <c r="I12" s="12">
        <v>24437.6</v>
      </c>
      <c r="J12" s="12">
        <v>13255.14</v>
      </c>
      <c r="K12" s="13">
        <f t="shared" si="1"/>
        <v>0.54240760140112</v>
      </c>
      <c r="L12" s="12">
        <f t="shared" si="2"/>
        <v>14.9058921623124</v>
      </c>
    </row>
    <row r="13" ht="15" customHeight="1" spans="1:12">
      <c r="A13" s="14" t="s">
        <v>21</v>
      </c>
      <c r="B13" s="15">
        <v>2136</v>
      </c>
      <c r="C13" s="15">
        <v>3892</v>
      </c>
      <c r="D13" s="16">
        <v>32429</v>
      </c>
      <c r="E13" s="16">
        <v>2813.11</v>
      </c>
      <c r="F13" s="17">
        <f t="shared" si="0"/>
        <v>0.0867467390298807</v>
      </c>
      <c r="G13" s="16">
        <v>5275.5</v>
      </c>
      <c r="H13" s="16">
        <v>23850.48</v>
      </c>
      <c r="I13" s="16">
        <v>29615.89</v>
      </c>
      <c r="J13" s="16">
        <v>16423.71</v>
      </c>
      <c r="K13" s="17">
        <f t="shared" si="1"/>
        <v>0.554557367683362</v>
      </c>
      <c r="L13" s="16">
        <f t="shared" si="2"/>
        <v>15.1821161048689</v>
      </c>
    </row>
    <row r="14" ht="15" customHeight="1" spans="1:12">
      <c r="A14" s="10" t="s">
        <v>22</v>
      </c>
      <c r="B14" s="11">
        <v>1634</v>
      </c>
      <c r="C14" s="11">
        <v>3086</v>
      </c>
      <c r="D14" s="12">
        <v>24829</v>
      </c>
      <c r="E14" s="12">
        <v>1972.42</v>
      </c>
      <c r="F14" s="13">
        <f t="shared" si="0"/>
        <v>0.0794401707680535</v>
      </c>
      <c r="G14" s="12">
        <v>3799.08</v>
      </c>
      <c r="H14" s="12">
        <v>18814.31</v>
      </c>
      <c r="I14" s="12">
        <v>22856.58</v>
      </c>
      <c r="J14" s="12">
        <v>13134.54</v>
      </c>
      <c r="K14" s="13">
        <f t="shared" si="1"/>
        <v>0.574650275763041</v>
      </c>
      <c r="L14" s="12">
        <f t="shared" si="2"/>
        <v>15.1952264381885</v>
      </c>
    </row>
    <row r="15" ht="15" customHeight="1" spans="1:12">
      <c r="A15" s="14" t="s">
        <v>23</v>
      </c>
      <c r="B15" s="15">
        <v>596</v>
      </c>
      <c r="C15" s="15">
        <v>1102</v>
      </c>
      <c r="D15" s="16">
        <v>8112</v>
      </c>
      <c r="E15" s="16">
        <v>155.79</v>
      </c>
      <c r="F15" s="17">
        <f t="shared" si="0"/>
        <v>0.0192048816568047</v>
      </c>
      <c r="G15" s="16">
        <v>681.56</v>
      </c>
      <c r="H15" s="16">
        <v>7259.65</v>
      </c>
      <c r="I15" s="16">
        <v>7956.21</v>
      </c>
      <c r="J15" s="16">
        <v>4680.22</v>
      </c>
      <c r="K15" s="17">
        <f t="shared" si="1"/>
        <v>0.588247419311456</v>
      </c>
      <c r="L15" s="16">
        <f t="shared" si="2"/>
        <v>13.6107382550336</v>
      </c>
    </row>
    <row r="16" ht="15" customHeight="1" spans="1:12">
      <c r="A16" s="10" t="s">
        <v>24</v>
      </c>
      <c r="B16" s="11">
        <v>1665</v>
      </c>
      <c r="C16" s="11">
        <v>2937</v>
      </c>
      <c r="D16" s="12">
        <v>21874.6</v>
      </c>
      <c r="E16" s="12">
        <v>402.4</v>
      </c>
      <c r="F16" s="13">
        <f t="shared" si="0"/>
        <v>0.0183957649511305</v>
      </c>
      <c r="G16" s="12">
        <v>1626.69</v>
      </c>
      <c r="H16" s="12">
        <v>19767.51</v>
      </c>
      <c r="I16" s="12">
        <v>21472.2</v>
      </c>
      <c r="J16" s="12">
        <v>11346.45</v>
      </c>
      <c r="K16" s="13">
        <f t="shared" si="1"/>
        <v>0.528425126442563</v>
      </c>
      <c r="L16" s="12">
        <f t="shared" si="2"/>
        <v>13.1378978978979</v>
      </c>
    </row>
    <row r="17" ht="15" customHeight="1" spans="1:12">
      <c r="A17" s="14" t="s">
        <v>25</v>
      </c>
      <c r="B17" s="15">
        <v>1564</v>
      </c>
      <c r="C17" s="15">
        <v>2703</v>
      </c>
      <c r="D17" s="16">
        <v>20769.4</v>
      </c>
      <c r="E17" s="16">
        <v>902.72</v>
      </c>
      <c r="F17" s="17">
        <f t="shared" si="0"/>
        <v>0.0434639421456566</v>
      </c>
      <c r="G17" s="16">
        <v>5655.79</v>
      </c>
      <c r="H17" s="16">
        <v>14152.59</v>
      </c>
      <c r="I17" s="16">
        <v>19866.68</v>
      </c>
      <c r="J17" s="16">
        <v>10235.84</v>
      </c>
      <c r="K17" s="17">
        <f t="shared" si="1"/>
        <v>0.515226499847987</v>
      </c>
      <c r="L17" s="16">
        <f t="shared" si="2"/>
        <v>13.2796675191816</v>
      </c>
    </row>
    <row r="18" ht="15" customHeight="1" spans="1:12">
      <c r="A18" s="10" t="s">
        <v>26</v>
      </c>
      <c r="B18" s="11">
        <v>1790</v>
      </c>
      <c r="C18" s="11">
        <v>2955</v>
      </c>
      <c r="D18" s="12">
        <v>22177.7</v>
      </c>
      <c r="E18" s="12">
        <v>1307.27</v>
      </c>
      <c r="F18" s="13">
        <f t="shared" si="0"/>
        <v>0.0589452468019677</v>
      </c>
      <c r="G18" s="12">
        <v>6104.39</v>
      </c>
      <c r="H18" s="12">
        <v>14601.04</v>
      </c>
      <c r="I18" s="12">
        <v>20870.43</v>
      </c>
      <c r="J18" s="12">
        <v>10652.92</v>
      </c>
      <c r="K18" s="13">
        <f t="shared" si="1"/>
        <v>0.510431265671095</v>
      </c>
      <c r="L18" s="12">
        <f t="shared" si="2"/>
        <v>12.3897765363128</v>
      </c>
    </row>
    <row r="19" ht="15" spans="1:12">
      <c r="A19" s="14" t="s">
        <v>27</v>
      </c>
      <c r="B19" s="15">
        <v>1951</v>
      </c>
      <c r="C19" s="15">
        <v>3230</v>
      </c>
      <c r="D19" s="16">
        <v>23530.9</v>
      </c>
      <c r="E19" s="16">
        <v>1318.92</v>
      </c>
      <c r="F19" s="17">
        <f t="shared" si="0"/>
        <v>0.0560505548024087</v>
      </c>
      <c r="G19" s="16">
        <v>7407.91</v>
      </c>
      <c r="H19" s="16">
        <v>14213.07</v>
      </c>
      <c r="I19" s="16">
        <v>22211.98</v>
      </c>
      <c r="J19" s="16">
        <v>11436.46</v>
      </c>
      <c r="K19" s="17">
        <f t="shared" si="1"/>
        <v>0.514878007273552</v>
      </c>
      <c r="L19" s="16">
        <f t="shared" si="2"/>
        <v>12.0609431060994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2">
        <v>0</v>
      </c>
      <c r="C2" s="12">
        <v>0</v>
      </c>
      <c r="D2" s="12">
        <v>0</v>
      </c>
      <c r="E2" s="12">
        <v>0</v>
      </c>
      <c r="F2" s="13" t="str">
        <f t="shared" ref="F2:F19" si="0">IF(D2=0,"-",E2/D2)</f>
        <v>-</v>
      </c>
      <c r="G2" s="12">
        <v>0</v>
      </c>
      <c r="H2" s="12">
        <v>0</v>
      </c>
      <c r="I2" s="12">
        <v>0</v>
      </c>
      <c r="J2" s="12" t="str">
        <f>IF(I2=0,"-",I2-0)</f>
        <v>-</v>
      </c>
      <c r="K2" s="13" t="str">
        <f t="shared" ref="K2:K19" si="1">IF(I2=0,"-",J2/I2)</f>
        <v>-</v>
      </c>
      <c r="L2" s="12" t="str">
        <f t="shared" ref="L2:L19" si="2">IF(B2=0,"-",D2/B2)</f>
        <v>-</v>
      </c>
    </row>
    <row r="3" ht="15" customHeight="1" spans="1:12">
      <c r="A3" s="14" t="s">
        <v>11</v>
      </c>
      <c r="B3" s="16">
        <v>0</v>
      </c>
      <c r="C3" s="16">
        <v>0</v>
      </c>
      <c r="D3" s="16">
        <v>0</v>
      </c>
      <c r="E3" s="16">
        <v>0</v>
      </c>
      <c r="F3" s="17" t="str">
        <f t="shared" si="0"/>
        <v>-</v>
      </c>
      <c r="G3" s="16">
        <v>0</v>
      </c>
      <c r="H3" s="16">
        <v>0</v>
      </c>
      <c r="I3" s="16">
        <v>0</v>
      </c>
      <c r="J3" s="16" t="str">
        <f>IF(I3=0,"-",I3-0)</f>
        <v>-</v>
      </c>
      <c r="K3" s="17" t="str">
        <f t="shared" si="1"/>
        <v>-</v>
      </c>
      <c r="L3" s="16" t="str">
        <f t="shared" si="2"/>
        <v>-</v>
      </c>
    </row>
    <row r="4" ht="15" customHeight="1" spans="1:12">
      <c r="A4" s="10" t="s">
        <v>12</v>
      </c>
      <c r="B4" s="11">
        <v>578</v>
      </c>
      <c r="C4" s="11">
        <v>1020</v>
      </c>
      <c r="D4" s="12">
        <v>10285.9</v>
      </c>
      <c r="E4" s="12">
        <v>2443.5</v>
      </c>
      <c r="F4" s="13">
        <f t="shared" si="0"/>
        <v>0.237558210754528</v>
      </c>
      <c r="G4" s="12">
        <v>7592.6</v>
      </c>
      <c r="H4" s="12">
        <v>0</v>
      </c>
      <c r="I4" s="12">
        <v>7842.4</v>
      </c>
      <c r="J4" s="12">
        <v>3594.1</v>
      </c>
      <c r="K4" s="13">
        <f t="shared" si="1"/>
        <v>0.458290829337958</v>
      </c>
      <c r="L4" s="12">
        <f t="shared" si="2"/>
        <v>17.7956747404844</v>
      </c>
    </row>
    <row r="5" ht="15" customHeight="1" spans="1:12">
      <c r="A5" s="14" t="s">
        <v>13</v>
      </c>
      <c r="B5" s="15">
        <v>1354</v>
      </c>
      <c r="C5" s="15">
        <v>2366</v>
      </c>
      <c r="D5" s="16">
        <v>22233.2</v>
      </c>
      <c r="E5" s="16">
        <v>5782.12</v>
      </c>
      <c r="F5" s="17">
        <f t="shared" si="0"/>
        <v>0.260066926938093</v>
      </c>
      <c r="G5" s="16">
        <v>13355.9</v>
      </c>
      <c r="H5" s="16">
        <v>2627.48</v>
      </c>
      <c r="I5" s="16">
        <v>16451.08</v>
      </c>
      <c r="J5" s="16">
        <v>6622.34</v>
      </c>
      <c r="K5" s="17">
        <f t="shared" si="1"/>
        <v>0.40254743153641</v>
      </c>
      <c r="L5" s="16">
        <f t="shared" si="2"/>
        <v>16.4203840472674</v>
      </c>
    </row>
    <row r="6" ht="15" customHeight="1" spans="1:12">
      <c r="A6" s="10" t="s">
        <v>14</v>
      </c>
      <c r="B6" s="11">
        <v>1886</v>
      </c>
      <c r="C6" s="11">
        <v>3292</v>
      </c>
      <c r="D6" s="12">
        <v>28535.4</v>
      </c>
      <c r="E6" s="12">
        <v>5670.22</v>
      </c>
      <c r="F6" s="13">
        <f t="shared" si="0"/>
        <v>0.198708271129895</v>
      </c>
      <c r="G6" s="12">
        <v>10066.05</v>
      </c>
      <c r="H6" s="12">
        <v>12596.43</v>
      </c>
      <c r="I6" s="12">
        <v>22865.18</v>
      </c>
      <c r="J6" s="12">
        <v>9941.33</v>
      </c>
      <c r="K6" s="13">
        <f t="shared" si="1"/>
        <v>0.434780307874244</v>
      </c>
      <c r="L6" s="12">
        <f t="shared" si="2"/>
        <v>15.1301166489926</v>
      </c>
    </row>
    <row r="7" ht="15" customHeight="1" spans="1:12">
      <c r="A7" s="14" t="s">
        <v>15</v>
      </c>
      <c r="B7" s="15">
        <v>1791</v>
      </c>
      <c r="C7" s="15">
        <v>3224</v>
      </c>
      <c r="D7" s="16">
        <v>24320.4</v>
      </c>
      <c r="E7" s="16">
        <v>3495.43</v>
      </c>
      <c r="F7" s="17">
        <f t="shared" si="0"/>
        <v>0.143724198615154</v>
      </c>
      <c r="G7" s="16">
        <v>6361.12</v>
      </c>
      <c r="H7" s="16">
        <v>14427.85</v>
      </c>
      <c r="I7" s="16">
        <v>20824.97</v>
      </c>
      <c r="J7" s="16">
        <v>8950.34</v>
      </c>
      <c r="K7" s="17">
        <f t="shared" si="1"/>
        <v>0.429788854437725</v>
      </c>
      <c r="L7" s="16">
        <f t="shared" si="2"/>
        <v>13.579229480737</v>
      </c>
    </row>
    <row r="8" ht="15" customHeight="1" spans="1:12">
      <c r="A8" s="10" t="s">
        <v>16</v>
      </c>
      <c r="B8" s="11">
        <v>2474</v>
      </c>
      <c r="C8" s="11">
        <v>4628</v>
      </c>
      <c r="D8" s="12">
        <v>33187.2</v>
      </c>
      <c r="E8" s="12">
        <v>3065.81</v>
      </c>
      <c r="F8" s="13">
        <f t="shared" si="0"/>
        <v>0.0923792908109151</v>
      </c>
      <c r="G8" s="12">
        <v>8002.64</v>
      </c>
      <c r="H8" s="12">
        <v>22018.95</v>
      </c>
      <c r="I8" s="12">
        <v>30121.39</v>
      </c>
      <c r="J8" s="12">
        <v>12886.04</v>
      </c>
      <c r="K8" s="13">
        <f t="shared" si="1"/>
        <v>0.427803630576145</v>
      </c>
      <c r="L8" s="12">
        <f t="shared" si="2"/>
        <v>13.4143896523848</v>
      </c>
    </row>
    <row r="9" ht="15" customHeight="1" spans="1:12">
      <c r="A9" s="14" t="s">
        <v>17</v>
      </c>
      <c r="B9" s="15">
        <v>2218</v>
      </c>
      <c r="C9" s="15">
        <v>4154</v>
      </c>
      <c r="D9" s="16">
        <v>30209.7</v>
      </c>
      <c r="E9" s="16">
        <v>3016.39</v>
      </c>
      <c r="F9" s="17">
        <f t="shared" si="0"/>
        <v>0.0998483930658034</v>
      </c>
      <c r="G9" s="16">
        <v>9269.92</v>
      </c>
      <c r="H9" s="16">
        <v>17820.39</v>
      </c>
      <c r="I9" s="16">
        <v>27193.31</v>
      </c>
      <c r="J9" s="16">
        <v>11802.53</v>
      </c>
      <c r="K9" s="17">
        <f t="shared" si="1"/>
        <v>0.434023294700057</v>
      </c>
      <c r="L9" s="16">
        <f t="shared" si="2"/>
        <v>13.6202434625789</v>
      </c>
    </row>
    <row r="10" ht="15" customHeight="1" spans="1:12">
      <c r="A10" s="10" t="s">
        <v>18</v>
      </c>
      <c r="B10" s="11">
        <v>2061</v>
      </c>
      <c r="C10" s="11">
        <v>3786</v>
      </c>
      <c r="D10" s="12">
        <v>27195</v>
      </c>
      <c r="E10" s="12">
        <v>2522.21</v>
      </c>
      <c r="F10" s="13">
        <f t="shared" si="0"/>
        <v>0.0927453576025005</v>
      </c>
      <c r="G10" s="12">
        <v>7711.09</v>
      </c>
      <c r="H10" s="12">
        <v>16925.7</v>
      </c>
      <c r="I10" s="12">
        <v>24672.79</v>
      </c>
      <c r="J10" s="12">
        <v>11465.36</v>
      </c>
      <c r="K10" s="13">
        <f t="shared" si="1"/>
        <v>0.464696534117139</v>
      </c>
      <c r="L10" s="12">
        <f t="shared" si="2"/>
        <v>13.1950509461426</v>
      </c>
    </row>
    <row r="11" ht="15" customHeight="1" spans="1:12">
      <c r="A11" s="14" t="s">
        <v>19</v>
      </c>
      <c r="B11" s="15">
        <v>1512</v>
      </c>
      <c r="C11" s="15">
        <v>2730</v>
      </c>
      <c r="D11" s="16">
        <v>20420.7</v>
      </c>
      <c r="E11" s="16">
        <v>1883.37</v>
      </c>
      <c r="F11" s="17">
        <f t="shared" si="0"/>
        <v>0.0922284740483921</v>
      </c>
      <c r="G11" s="16">
        <v>7047.31</v>
      </c>
      <c r="H11" s="16">
        <v>11472.02</v>
      </c>
      <c r="I11" s="16">
        <v>18537.33</v>
      </c>
      <c r="J11" s="16">
        <v>9456.04</v>
      </c>
      <c r="K11" s="17">
        <f t="shared" si="1"/>
        <v>0.510107982109613</v>
      </c>
      <c r="L11" s="16">
        <f t="shared" si="2"/>
        <v>13.505753968254</v>
      </c>
    </row>
    <row r="12" ht="15" customHeight="1" spans="1:12">
      <c r="A12" s="10" t="s">
        <v>20</v>
      </c>
      <c r="B12" s="11">
        <v>1578</v>
      </c>
      <c r="C12" s="11">
        <v>2683</v>
      </c>
      <c r="D12" s="12">
        <v>20504.8</v>
      </c>
      <c r="E12" s="12">
        <v>1880.96</v>
      </c>
      <c r="F12" s="13">
        <f t="shared" si="0"/>
        <v>0.0917326674729819</v>
      </c>
      <c r="G12" s="12">
        <v>7484.74</v>
      </c>
      <c r="H12" s="12">
        <v>11139.1</v>
      </c>
      <c r="I12" s="12">
        <v>18623.84</v>
      </c>
      <c r="J12" s="12">
        <v>9837.29</v>
      </c>
      <c r="K12" s="13">
        <f t="shared" si="1"/>
        <v>0.528209542178197</v>
      </c>
      <c r="L12" s="12">
        <f t="shared" si="2"/>
        <v>12.9941698352345</v>
      </c>
    </row>
    <row r="13" ht="15" customHeight="1" spans="1:12">
      <c r="A13" s="14" t="s">
        <v>21</v>
      </c>
      <c r="B13" s="15">
        <v>1632</v>
      </c>
      <c r="C13" s="15">
        <v>2880</v>
      </c>
      <c r="D13" s="16">
        <v>20859.8</v>
      </c>
      <c r="E13" s="16">
        <v>1124.73</v>
      </c>
      <c r="F13" s="17">
        <f t="shared" si="0"/>
        <v>0.0539185418843901</v>
      </c>
      <c r="G13" s="16">
        <v>8649.49</v>
      </c>
      <c r="H13" s="16">
        <v>11050.78</v>
      </c>
      <c r="I13" s="16">
        <v>19735.07</v>
      </c>
      <c r="J13" s="16">
        <v>10651.49</v>
      </c>
      <c r="K13" s="17">
        <f t="shared" si="1"/>
        <v>0.539723953348025</v>
      </c>
      <c r="L13" s="16">
        <f t="shared" si="2"/>
        <v>12.7817401960784</v>
      </c>
    </row>
    <row r="14" ht="15" customHeight="1" spans="1:12">
      <c r="A14" s="10" t="s">
        <v>22</v>
      </c>
      <c r="B14" s="11">
        <v>1382</v>
      </c>
      <c r="C14" s="11">
        <v>2356</v>
      </c>
      <c r="D14" s="12">
        <v>17559.4</v>
      </c>
      <c r="E14" s="12">
        <v>1290.94</v>
      </c>
      <c r="F14" s="13">
        <f t="shared" si="0"/>
        <v>0.0735184573504789</v>
      </c>
      <c r="G14" s="12">
        <v>7393.94</v>
      </c>
      <c r="H14" s="12">
        <v>8864.62</v>
      </c>
      <c r="I14" s="12">
        <v>16268.46</v>
      </c>
      <c r="J14" s="12">
        <v>8786.25</v>
      </c>
      <c r="K14" s="13">
        <f t="shared" si="1"/>
        <v>0.540078778200272</v>
      </c>
      <c r="L14" s="12">
        <f t="shared" si="2"/>
        <v>12.7057887120116</v>
      </c>
    </row>
    <row r="15" ht="15" customHeight="1" spans="1:12">
      <c r="A15" s="14" t="s">
        <v>23</v>
      </c>
      <c r="B15" s="15">
        <v>346</v>
      </c>
      <c r="C15" s="15">
        <v>602</v>
      </c>
      <c r="D15" s="16">
        <v>4373.6</v>
      </c>
      <c r="E15" s="16">
        <v>165.74</v>
      </c>
      <c r="F15" s="17">
        <f t="shared" si="0"/>
        <v>0.0378955551490763</v>
      </c>
      <c r="G15" s="16">
        <v>892.63</v>
      </c>
      <c r="H15" s="16">
        <v>3315.23</v>
      </c>
      <c r="I15" s="16">
        <v>4207.86</v>
      </c>
      <c r="J15" s="16">
        <v>2421.29</v>
      </c>
      <c r="K15" s="17">
        <f t="shared" si="1"/>
        <v>0.575420760196394</v>
      </c>
      <c r="L15" s="16">
        <f t="shared" si="2"/>
        <v>12.6404624277457</v>
      </c>
    </row>
    <row r="16" ht="15" customHeight="1" spans="1:12">
      <c r="A16" s="10" t="s">
        <v>24</v>
      </c>
      <c r="B16" s="11">
        <v>1266</v>
      </c>
      <c r="C16" s="11">
        <v>2100</v>
      </c>
      <c r="D16" s="12">
        <v>14983.9</v>
      </c>
      <c r="E16" s="12">
        <v>617.74</v>
      </c>
      <c r="F16" s="13">
        <f t="shared" si="0"/>
        <v>0.0412269168907961</v>
      </c>
      <c r="G16" s="12">
        <v>6916.56</v>
      </c>
      <c r="H16" s="12">
        <v>7431.6</v>
      </c>
      <c r="I16" s="12">
        <v>14366.16</v>
      </c>
      <c r="J16" s="12">
        <v>7361.58</v>
      </c>
      <c r="K16" s="13">
        <f t="shared" si="1"/>
        <v>0.512425032158907</v>
      </c>
      <c r="L16" s="12">
        <f t="shared" si="2"/>
        <v>11.8356240126382</v>
      </c>
    </row>
    <row r="17" ht="15" customHeight="1" spans="1:12">
      <c r="A17" s="14" t="s">
        <v>25</v>
      </c>
      <c r="B17" s="15">
        <v>1270</v>
      </c>
      <c r="C17" s="15">
        <v>2092</v>
      </c>
      <c r="D17" s="16">
        <v>14622</v>
      </c>
      <c r="E17" s="16">
        <v>402.56</v>
      </c>
      <c r="F17" s="17">
        <f t="shared" si="0"/>
        <v>0.0275311174941868</v>
      </c>
      <c r="G17" s="16">
        <v>6026.11</v>
      </c>
      <c r="H17" s="16">
        <v>8193.33</v>
      </c>
      <c r="I17" s="16">
        <v>14219.44</v>
      </c>
      <c r="J17" s="16">
        <v>7329.71</v>
      </c>
      <c r="K17" s="17">
        <f t="shared" si="1"/>
        <v>0.515471073403735</v>
      </c>
      <c r="L17" s="16">
        <f t="shared" si="2"/>
        <v>11.5133858267717</v>
      </c>
    </row>
    <row r="18" ht="15" customHeight="1" spans="1:12">
      <c r="A18" s="10" t="s">
        <v>26</v>
      </c>
      <c r="B18" s="11">
        <v>1372</v>
      </c>
      <c r="C18" s="11">
        <v>2285</v>
      </c>
      <c r="D18" s="12">
        <v>15843</v>
      </c>
      <c r="E18" s="12">
        <v>470.28</v>
      </c>
      <c r="F18" s="13">
        <f t="shared" si="0"/>
        <v>0.0296837720128763</v>
      </c>
      <c r="G18" s="12">
        <v>5296.28</v>
      </c>
      <c r="H18" s="12">
        <v>10076.44</v>
      </c>
      <c r="I18" s="12">
        <v>15372.72</v>
      </c>
      <c r="J18" s="12">
        <v>7906.99</v>
      </c>
      <c r="K18" s="13">
        <f t="shared" si="1"/>
        <v>0.514352047002743</v>
      </c>
      <c r="L18" s="12">
        <f t="shared" si="2"/>
        <v>11.5473760932945</v>
      </c>
    </row>
    <row r="19" ht="15" spans="1:12">
      <c r="A19" s="14" t="s">
        <v>27</v>
      </c>
      <c r="B19" s="15">
        <v>1666</v>
      </c>
      <c r="C19" s="15">
        <v>2687</v>
      </c>
      <c r="D19" s="16">
        <v>19300.4</v>
      </c>
      <c r="E19" s="16">
        <v>783.3</v>
      </c>
      <c r="F19" s="17">
        <f t="shared" si="0"/>
        <v>0.0405846510953141</v>
      </c>
      <c r="G19" s="16">
        <v>7808.76</v>
      </c>
      <c r="H19" s="16">
        <v>10708.34</v>
      </c>
      <c r="I19" s="16">
        <v>18517.1</v>
      </c>
      <c r="J19" s="16">
        <v>9454.41</v>
      </c>
      <c r="K19" s="17">
        <f t="shared" si="1"/>
        <v>0.510577250217367</v>
      </c>
      <c r="L19" s="16">
        <f t="shared" si="2"/>
        <v>11.5848739495798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625</v>
      </c>
      <c r="C2" s="11">
        <v>1068</v>
      </c>
      <c r="D2" s="12">
        <v>11227.5</v>
      </c>
      <c r="E2" s="12">
        <v>2012.92</v>
      </c>
      <c r="F2" s="13">
        <f t="shared" ref="F2:F19" si="0">IF(D2=0,"-",E2/D2)</f>
        <v>0.179284791805834</v>
      </c>
      <c r="G2" s="12">
        <v>6787.07</v>
      </c>
      <c r="H2" s="12">
        <v>2427.51</v>
      </c>
      <c r="I2" s="12">
        <v>9214.58</v>
      </c>
      <c r="J2" s="12">
        <v>4389.91</v>
      </c>
      <c r="K2" s="13">
        <f t="shared" ref="K2:K19" si="1">IF(I2=0,"-",J2/I2)</f>
        <v>0.476409125538006</v>
      </c>
      <c r="L2" s="12">
        <f t="shared" ref="L2:L19" si="2">IF(B2=0,"-",D2/B2)</f>
        <v>17.964</v>
      </c>
    </row>
    <row r="3" ht="15" customHeight="1" spans="1:12">
      <c r="A3" s="14" t="s">
        <v>11</v>
      </c>
      <c r="B3" s="15">
        <v>983</v>
      </c>
      <c r="C3" s="15">
        <v>1669</v>
      </c>
      <c r="D3" s="16">
        <v>16127.8</v>
      </c>
      <c r="E3" s="16">
        <v>2416.65</v>
      </c>
      <c r="F3" s="17">
        <f t="shared" si="0"/>
        <v>0.149843748062352</v>
      </c>
      <c r="G3" s="16">
        <v>7429.1</v>
      </c>
      <c r="H3" s="16">
        <v>5593.38</v>
      </c>
      <c r="I3" s="16">
        <v>13711.15</v>
      </c>
      <c r="J3" s="16">
        <v>6870.99</v>
      </c>
      <c r="K3" s="17">
        <f t="shared" si="1"/>
        <v>0.501124267475741</v>
      </c>
      <c r="L3" s="16">
        <f t="shared" si="2"/>
        <v>16.4067141403866</v>
      </c>
    </row>
    <row r="4" ht="15" customHeight="1" spans="1:12">
      <c r="A4" s="10" t="s">
        <v>12</v>
      </c>
      <c r="B4" s="11">
        <v>1431</v>
      </c>
      <c r="C4" s="11">
        <v>2415</v>
      </c>
      <c r="D4" s="12">
        <v>26733.3</v>
      </c>
      <c r="E4" s="12">
        <v>7088.42</v>
      </c>
      <c r="F4" s="13">
        <f t="shared" si="0"/>
        <v>0.265153198445385</v>
      </c>
      <c r="G4" s="12">
        <v>8953.35</v>
      </c>
      <c r="H4" s="12">
        <v>7095.38</v>
      </c>
      <c r="I4" s="12">
        <v>19644.88</v>
      </c>
      <c r="J4" s="12">
        <v>9173.6</v>
      </c>
      <c r="K4" s="13">
        <f t="shared" si="1"/>
        <v>0.466971546784709</v>
      </c>
      <c r="L4" s="12">
        <f t="shared" si="2"/>
        <v>18.6815513626834</v>
      </c>
    </row>
    <row r="5" ht="15" customHeight="1" spans="1:12">
      <c r="A5" s="14" t="s">
        <v>13</v>
      </c>
      <c r="B5" s="15">
        <v>1713</v>
      </c>
      <c r="C5" s="15">
        <v>2765</v>
      </c>
      <c r="D5" s="16">
        <v>29621.8</v>
      </c>
      <c r="E5" s="16">
        <v>7174.38</v>
      </c>
      <c r="F5" s="17">
        <f t="shared" si="0"/>
        <v>0.242199326171941</v>
      </c>
      <c r="G5" s="16">
        <v>10091.56</v>
      </c>
      <c r="H5" s="16">
        <v>8143.28</v>
      </c>
      <c r="I5" s="16">
        <v>22447.42</v>
      </c>
      <c r="J5" s="16">
        <v>10644.4</v>
      </c>
      <c r="K5" s="17">
        <f t="shared" si="1"/>
        <v>0.474192579815409</v>
      </c>
      <c r="L5" s="16">
        <f t="shared" si="2"/>
        <v>17.2923525977817</v>
      </c>
    </row>
    <row r="6" ht="15" customHeight="1" spans="1:12">
      <c r="A6" s="10" t="s">
        <v>14</v>
      </c>
      <c r="B6" s="11">
        <v>1623</v>
      </c>
      <c r="C6" s="11">
        <v>2662</v>
      </c>
      <c r="D6" s="12">
        <v>27931.1</v>
      </c>
      <c r="E6" s="12">
        <v>8280.71</v>
      </c>
      <c r="F6" s="13">
        <f t="shared" si="0"/>
        <v>0.296469168776024</v>
      </c>
      <c r="G6" s="12">
        <v>9454.43</v>
      </c>
      <c r="H6" s="12">
        <v>7762.18</v>
      </c>
      <c r="I6" s="12">
        <v>19650.39</v>
      </c>
      <c r="J6" s="12">
        <v>8404.73</v>
      </c>
      <c r="K6" s="13">
        <f t="shared" si="1"/>
        <v>0.427713139535653</v>
      </c>
      <c r="L6" s="12">
        <f t="shared" si="2"/>
        <v>17.20955021565</v>
      </c>
    </row>
    <row r="7" ht="15" customHeight="1" spans="1:12">
      <c r="A7" s="14" t="s">
        <v>15</v>
      </c>
      <c r="B7" s="15">
        <v>1551</v>
      </c>
      <c r="C7" s="15">
        <v>2473</v>
      </c>
      <c r="D7" s="16">
        <v>25116.3</v>
      </c>
      <c r="E7" s="16">
        <v>5820.16</v>
      </c>
      <c r="F7" s="17">
        <f t="shared" si="0"/>
        <v>0.231728399485593</v>
      </c>
      <c r="G7" s="16">
        <v>8057.83</v>
      </c>
      <c r="H7" s="16">
        <v>8610.6</v>
      </c>
      <c r="I7" s="16">
        <v>19296.14</v>
      </c>
      <c r="J7" s="16">
        <v>8929.6</v>
      </c>
      <c r="K7" s="17">
        <f t="shared" si="1"/>
        <v>0.462766128355205</v>
      </c>
      <c r="L7" s="16">
        <f t="shared" si="2"/>
        <v>16.1936170212766</v>
      </c>
    </row>
    <row r="8" ht="15" customHeight="1" spans="1:12">
      <c r="A8" s="10" t="s">
        <v>16</v>
      </c>
      <c r="B8" s="11">
        <v>1524</v>
      </c>
      <c r="C8" s="11">
        <v>2516</v>
      </c>
      <c r="D8" s="12">
        <v>24155</v>
      </c>
      <c r="E8" s="12">
        <v>6494.22</v>
      </c>
      <c r="F8" s="13">
        <f t="shared" si="0"/>
        <v>0.268856137445663</v>
      </c>
      <c r="G8" s="12">
        <v>7913.66</v>
      </c>
      <c r="H8" s="12">
        <v>6911.02</v>
      </c>
      <c r="I8" s="12">
        <v>17660.78</v>
      </c>
      <c r="J8" s="12">
        <v>7609.62</v>
      </c>
      <c r="K8" s="13">
        <f t="shared" si="1"/>
        <v>0.430876778941813</v>
      </c>
      <c r="L8" s="12">
        <f t="shared" si="2"/>
        <v>15.8497375328084</v>
      </c>
    </row>
    <row r="9" ht="15" customHeight="1" spans="1:12">
      <c r="A9" s="14" t="s">
        <v>17</v>
      </c>
      <c r="B9" s="15">
        <v>825</v>
      </c>
      <c r="C9" s="15">
        <v>1332</v>
      </c>
      <c r="D9" s="16">
        <v>13598.9</v>
      </c>
      <c r="E9" s="16">
        <v>3529.26</v>
      </c>
      <c r="F9" s="17">
        <f t="shared" si="0"/>
        <v>0.259525402789932</v>
      </c>
      <c r="G9" s="16">
        <v>6611.45</v>
      </c>
      <c r="H9" s="16">
        <v>1918.77</v>
      </c>
      <c r="I9" s="16">
        <v>10069.64</v>
      </c>
      <c r="J9" s="16">
        <v>4500.13</v>
      </c>
      <c r="K9" s="17">
        <f t="shared" si="1"/>
        <v>0.446900782947553</v>
      </c>
      <c r="L9" s="16">
        <f t="shared" si="2"/>
        <v>16.4835151515151</v>
      </c>
    </row>
    <row r="10" ht="15" customHeight="1" spans="1:12">
      <c r="A10" s="10" t="s">
        <v>18</v>
      </c>
      <c r="B10" s="11">
        <v>1085</v>
      </c>
      <c r="C10" s="11">
        <v>1770</v>
      </c>
      <c r="D10" s="12">
        <v>15083.5</v>
      </c>
      <c r="E10" s="12">
        <v>2721.9</v>
      </c>
      <c r="F10" s="13">
        <f t="shared" si="0"/>
        <v>0.180455464580502</v>
      </c>
      <c r="G10" s="12">
        <v>5031.76</v>
      </c>
      <c r="H10" s="12">
        <v>6189.6</v>
      </c>
      <c r="I10" s="12">
        <v>12361.6</v>
      </c>
      <c r="J10" s="12">
        <v>5935.07</v>
      </c>
      <c r="K10" s="13">
        <f t="shared" si="1"/>
        <v>0.480121505306756</v>
      </c>
      <c r="L10" s="12">
        <f t="shared" si="2"/>
        <v>13.9018433179724</v>
      </c>
    </row>
    <row r="11" ht="15" customHeight="1" spans="1:12">
      <c r="A11" s="14" t="s">
        <v>19</v>
      </c>
      <c r="B11" s="15">
        <v>725</v>
      </c>
      <c r="C11" s="15">
        <v>1184</v>
      </c>
      <c r="D11" s="16">
        <v>10176.7</v>
      </c>
      <c r="E11" s="16">
        <v>1708.66</v>
      </c>
      <c r="F11" s="17">
        <f t="shared" si="0"/>
        <v>0.167899220769012</v>
      </c>
      <c r="G11" s="16">
        <v>4134.47</v>
      </c>
      <c r="H11" s="16">
        <v>3773.65</v>
      </c>
      <c r="I11" s="16">
        <v>8468.04</v>
      </c>
      <c r="J11" s="16">
        <v>4375.25</v>
      </c>
      <c r="K11" s="17">
        <f t="shared" si="1"/>
        <v>0.51667800341047</v>
      </c>
      <c r="L11" s="16">
        <f t="shared" si="2"/>
        <v>14.0368275862069</v>
      </c>
    </row>
    <row r="12" ht="15" customHeight="1" spans="1:12">
      <c r="A12" s="10" t="s">
        <v>20</v>
      </c>
      <c r="B12" s="11">
        <v>1026</v>
      </c>
      <c r="C12" s="11">
        <v>1692</v>
      </c>
      <c r="D12" s="12">
        <v>13730</v>
      </c>
      <c r="E12" s="12">
        <v>1596.09</v>
      </c>
      <c r="F12" s="13">
        <f t="shared" si="0"/>
        <v>0.116248361252731</v>
      </c>
      <c r="G12" s="12">
        <v>5628.55</v>
      </c>
      <c r="H12" s="12">
        <v>5926.63</v>
      </c>
      <c r="I12" s="12">
        <v>12133.91</v>
      </c>
      <c r="J12" s="12">
        <v>6370.13</v>
      </c>
      <c r="K12" s="13">
        <f t="shared" si="1"/>
        <v>0.524985763039284</v>
      </c>
      <c r="L12" s="12">
        <f t="shared" si="2"/>
        <v>13.3820662768031</v>
      </c>
    </row>
    <row r="13" ht="15" customHeight="1" spans="1:12">
      <c r="A13" s="14" t="s">
        <v>21</v>
      </c>
      <c r="B13" s="15">
        <v>1210</v>
      </c>
      <c r="C13" s="15">
        <v>1960</v>
      </c>
      <c r="D13" s="16">
        <v>15403.8</v>
      </c>
      <c r="E13" s="16">
        <v>1676.62</v>
      </c>
      <c r="F13" s="17">
        <f t="shared" si="0"/>
        <v>0.108844570820187</v>
      </c>
      <c r="G13" s="16">
        <v>5726.72</v>
      </c>
      <c r="H13" s="16">
        <v>7542.74</v>
      </c>
      <c r="I13" s="16">
        <v>13727.18</v>
      </c>
      <c r="J13" s="16">
        <v>7199.98</v>
      </c>
      <c r="K13" s="17">
        <f t="shared" si="1"/>
        <v>0.524505397321227</v>
      </c>
      <c r="L13" s="16">
        <f t="shared" si="2"/>
        <v>12.7304132231405</v>
      </c>
    </row>
    <row r="14" ht="15" customHeight="1" spans="1:12">
      <c r="A14" s="10" t="s">
        <v>22</v>
      </c>
      <c r="B14" s="11">
        <v>999</v>
      </c>
      <c r="C14" s="11">
        <v>1712</v>
      </c>
      <c r="D14" s="12">
        <v>12083.2</v>
      </c>
      <c r="E14" s="12">
        <v>834.73</v>
      </c>
      <c r="F14" s="13">
        <f t="shared" si="0"/>
        <v>0.0690818657309322</v>
      </c>
      <c r="G14" s="12">
        <v>4505.01</v>
      </c>
      <c r="H14" s="12">
        <v>6569.46</v>
      </c>
      <c r="I14" s="12">
        <v>11248.47</v>
      </c>
      <c r="J14" s="12">
        <v>6137.42</v>
      </c>
      <c r="K14" s="13">
        <f t="shared" si="1"/>
        <v>0.545622649124725</v>
      </c>
      <c r="L14" s="12">
        <f t="shared" si="2"/>
        <v>12.0952952952953</v>
      </c>
    </row>
    <row r="15" ht="15" customHeight="1" spans="1:12">
      <c r="A15" s="14" t="s">
        <v>23</v>
      </c>
      <c r="B15" s="15">
        <v>161</v>
      </c>
      <c r="C15" s="15">
        <v>283</v>
      </c>
      <c r="D15" s="16">
        <v>1909.4</v>
      </c>
      <c r="E15" s="16">
        <v>71.35</v>
      </c>
      <c r="F15" s="17">
        <f t="shared" si="0"/>
        <v>0.0373677595056039</v>
      </c>
      <c r="G15" s="16">
        <v>975.53</v>
      </c>
      <c r="H15" s="16">
        <v>862.52</v>
      </c>
      <c r="I15" s="16">
        <v>1838.05</v>
      </c>
      <c r="J15" s="16">
        <v>1028.72</v>
      </c>
      <c r="K15" s="17">
        <f t="shared" si="1"/>
        <v>0.559680095753652</v>
      </c>
      <c r="L15" s="16">
        <f t="shared" si="2"/>
        <v>11.8596273291925</v>
      </c>
    </row>
    <row r="16" ht="15" customHeight="1" spans="1:12">
      <c r="A16" s="10" t="s">
        <v>24</v>
      </c>
      <c r="B16" s="11">
        <v>1022</v>
      </c>
      <c r="C16" s="11">
        <v>1698</v>
      </c>
      <c r="D16" s="12">
        <v>12028.4</v>
      </c>
      <c r="E16" s="12">
        <v>588.97</v>
      </c>
      <c r="F16" s="13">
        <f t="shared" si="0"/>
        <v>0.0489649496192345</v>
      </c>
      <c r="G16" s="12">
        <v>5172.23</v>
      </c>
      <c r="H16" s="12">
        <v>6208.7</v>
      </c>
      <c r="I16" s="12">
        <v>11439.43</v>
      </c>
      <c r="J16" s="12">
        <v>5847.83</v>
      </c>
      <c r="K16" s="13">
        <f t="shared" si="1"/>
        <v>0.511199421649505</v>
      </c>
      <c r="L16" s="12">
        <f t="shared" si="2"/>
        <v>11.7694716242661</v>
      </c>
    </row>
    <row r="17" ht="15" customHeight="1" spans="1:12">
      <c r="A17" s="14" t="s">
        <v>25</v>
      </c>
      <c r="B17" s="15">
        <v>1127</v>
      </c>
      <c r="C17" s="15">
        <v>1692</v>
      </c>
      <c r="D17" s="16">
        <v>12221.2</v>
      </c>
      <c r="E17" s="16">
        <v>559.24</v>
      </c>
      <c r="F17" s="17">
        <f t="shared" si="0"/>
        <v>0.0457598271855464</v>
      </c>
      <c r="G17" s="16">
        <v>6165.91</v>
      </c>
      <c r="H17" s="16">
        <v>5323.65</v>
      </c>
      <c r="I17" s="16">
        <v>11661.96</v>
      </c>
      <c r="J17" s="16">
        <v>6069.04</v>
      </c>
      <c r="K17" s="17">
        <f t="shared" si="1"/>
        <v>0.520413378197147</v>
      </c>
      <c r="L17" s="16">
        <f t="shared" si="2"/>
        <v>10.8440106477374</v>
      </c>
    </row>
    <row r="18" ht="15" customHeight="1" spans="1:12">
      <c r="A18" s="10" t="s">
        <v>26</v>
      </c>
      <c r="B18" s="11">
        <v>1123</v>
      </c>
      <c r="C18" s="11">
        <v>1705</v>
      </c>
      <c r="D18" s="12">
        <v>12023.9</v>
      </c>
      <c r="E18" s="12">
        <v>461.3</v>
      </c>
      <c r="F18" s="13">
        <f t="shared" si="0"/>
        <v>0.0383652558654014</v>
      </c>
      <c r="G18" s="12">
        <v>5697.66</v>
      </c>
      <c r="H18" s="12">
        <v>5795.04</v>
      </c>
      <c r="I18" s="12">
        <v>11562.6</v>
      </c>
      <c r="J18" s="12">
        <v>6047.84</v>
      </c>
      <c r="K18" s="13">
        <f t="shared" si="1"/>
        <v>0.523051908740249</v>
      </c>
      <c r="L18" s="12">
        <f t="shared" si="2"/>
        <v>10.706945681211</v>
      </c>
    </row>
    <row r="19" ht="15" spans="1:12">
      <c r="A19" s="14" t="s">
        <v>27</v>
      </c>
      <c r="B19" s="15">
        <v>1203</v>
      </c>
      <c r="C19" s="15">
        <v>1830</v>
      </c>
      <c r="D19" s="16">
        <v>11828.7</v>
      </c>
      <c r="E19" s="16">
        <v>340.32</v>
      </c>
      <c r="F19" s="17">
        <f t="shared" si="0"/>
        <v>0.0287707017677344</v>
      </c>
      <c r="G19" s="16">
        <v>5661.56</v>
      </c>
      <c r="H19" s="16">
        <v>5726.92</v>
      </c>
      <c r="I19" s="16">
        <v>11488.38</v>
      </c>
      <c r="J19" s="16">
        <v>6075.44</v>
      </c>
      <c r="K19" s="17">
        <f t="shared" si="1"/>
        <v>0.528833482179385</v>
      </c>
      <c r="L19" s="16">
        <f t="shared" si="2"/>
        <v>9.83266832917706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2">
        <v>0</v>
      </c>
      <c r="C2" s="12">
        <v>0</v>
      </c>
      <c r="D2" s="12">
        <v>0</v>
      </c>
      <c r="E2" s="12">
        <v>0</v>
      </c>
      <c r="F2" s="13" t="str">
        <f t="shared" ref="F2:F19" si="0">IF(D2=0,"-",E2/D2)</f>
        <v>-</v>
      </c>
      <c r="G2" s="12">
        <v>0</v>
      </c>
      <c r="H2" s="12">
        <v>0</v>
      </c>
      <c r="I2" s="12">
        <v>0</v>
      </c>
      <c r="J2" s="12" t="str">
        <f>IF(I2=0,"-",I2-0)</f>
        <v>-</v>
      </c>
      <c r="K2" s="13" t="str">
        <f t="shared" ref="K2:K19" si="1">IF(I2=0,"-",J2/I2)</f>
        <v>-</v>
      </c>
      <c r="L2" s="12" t="str">
        <f t="shared" ref="L2:L19" si="2">IF(B2=0,"-",D2/B2)</f>
        <v>-</v>
      </c>
    </row>
    <row r="3" ht="15" customHeight="1" spans="1:12">
      <c r="A3" s="14" t="s">
        <v>11</v>
      </c>
      <c r="B3" s="16">
        <v>0</v>
      </c>
      <c r="C3" s="16">
        <v>0</v>
      </c>
      <c r="D3" s="16">
        <v>0</v>
      </c>
      <c r="E3" s="16">
        <v>0</v>
      </c>
      <c r="F3" s="17" t="str">
        <f t="shared" si="0"/>
        <v>-</v>
      </c>
      <c r="G3" s="16">
        <v>0</v>
      </c>
      <c r="H3" s="16">
        <v>0</v>
      </c>
      <c r="I3" s="16">
        <v>0</v>
      </c>
      <c r="J3" s="16" t="str">
        <f>IF(I3=0,"-",I3-0)</f>
        <v>-</v>
      </c>
      <c r="K3" s="17" t="str">
        <f t="shared" si="1"/>
        <v>-</v>
      </c>
      <c r="L3" s="16" t="str">
        <f t="shared" si="2"/>
        <v>-</v>
      </c>
    </row>
    <row r="4" ht="15" customHeight="1" spans="1:12">
      <c r="A4" s="10" t="s">
        <v>12</v>
      </c>
      <c r="B4" s="12">
        <v>0</v>
      </c>
      <c r="C4" s="12">
        <v>0</v>
      </c>
      <c r="D4" s="12">
        <v>0</v>
      </c>
      <c r="E4" s="12">
        <v>0</v>
      </c>
      <c r="F4" s="13" t="str">
        <f t="shared" si="0"/>
        <v>-</v>
      </c>
      <c r="G4" s="12">
        <v>0</v>
      </c>
      <c r="H4" s="12">
        <v>0</v>
      </c>
      <c r="I4" s="12">
        <v>0</v>
      </c>
      <c r="J4" s="12" t="str">
        <f>IF(I4=0,"-",I4-0)</f>
        <v>-</v>
      </c>
      <c r="K4" s="13" t="str">
        <f t="shared" si="1"/>
        <v>-</v>
      </c>
      <c r="L4" s="12" t="str">
        <f t="shared" si="2"/>
        <v>-</v>
      </c>
    </row>
    <row r="5" ht="15" customHeight="1" spans="1:12">
      <c r="A5" s="14" t="s">
        <v>13</v>
      </c>
      <c r="B5" s="16">
        <v>0</v>
      </c>
      <c r="C5" s="16">
        <v>0</v>
      </c>
      <c r="D5" s="16">
        <v>0</v>
      </c>
      <c r="E5" s="16">
        <v>0</v>
      </c>
      <c r="F5" s="17" t="str">
        <f t="shared" si="0"/>
        <v>-</v>
      </c>
      <c r="G5" s="16">
        <v>0</v>
      </c>
      <c r="H5" s="16">
        <v>0</v>
      </c>
      <c r="I5" s="16">
        <v>0</v>
      </c>
      <c r="J5" s="16" t="str">
        <f>IF(I5=0,"-",I5-0)</f>
        <v>-</v>
      </c>
      <c r="K5" s="17" t="str">
        <f t="shared" si="1"/>
        <v>-</v>
      </c>
      <c r="L5" s="16" t="str">
        <f t="shared" si="2"/>
        <v>-</v>
      </c>
    </row>
    <row r="6" ht="15" customHeight="1" spans="1:12">
      <c r="A6" s="10" t="s">
        <v>14</v>
      </c>
      <c r="B6" s="12">
        <v>0</v>
      </c>
      <c r="C6" s="12">
        <v>0</v>
      </c>
      <c r="D6" s="12">
        <v>0</v>
      </c>
      <c r="E6" s="12">
        <v>0</v>
      </c>
      <c r="F6" s="13" t="str">
        <f t="shared" si="0"/>
        <v>-</v>
      </c>
      <c r="G6" s="12">
        <v>0</v>
      </c>
      <c r="H6" s="12">
        <v>0</v>
      </c>
      <c r="I6" s="12">
        <v>0</v>
      </c>
      <c r="J6" s="12" t="str">
        <f>IF(I6=0,"-",I6-0)</f>
        <v>-</v>
      </c>
      <c r="K6" s="13" t="str">
        <f t="shared" si="1"/>
        <v>-</v>
      </c>
      <c r="L6" s="12" t="str">
        <f t="shared" si="2"/>
        <v>-</v>
      </c>
    </row>
    <row r="7" ht="15" customHeight="1" spans="1:12">
      <c r="A7" s="14" t="s">
        <v>15</v>
      </c>
      <c r="B7" s="15">
        <v>648</v>
      </c>
      <c r="C7" s="15">
        <v>1097</v>
      </c>
      <c r="D7" s="16">
        <v>12260.1</v>
      </c>
      <c r="E7" s="16">
        <v>2983.77</v>
      </c>
      <c r="F7" s="17">
        <f t="shared" si="0"/>
        <v>0.243372403161475</v>
      </c>
      <c r="G7" s="16">
        <v>7133.57</v>
      </c>
      <c r="H7" s="16">
        <v>1941.86</v>
      </c>
      <c r="I7" s="16">
        <v>9276.33</v>
      </c>
      <c r="J7" s="16">
        <v>3650.62</v>
      </c>
      <c r="K7" s="17">
        <f t="shared" si="1"/>
        <v>0.393541411312448</v>
      </c>
      <c r="L7" s="16">
        <f t="shared" si="2"/>
        <v>18.9199074074074</v>
      </c>
    </row>
    <row r="8" ht="15" customHeight="1" spans="1:12">
      <c r="A8" s="10" t="s">
        <v>16</v>
      </c>
      <c r="B8" s="11">
        <v>1939</v>
      </c>
      <c r="C8" s="11">
        <v>3346</v>
      </c>
      <c r="D8" s="12">
        <v>34909.3</v>
      </c>
      <c r="E8" s="12">
        <v>8604.44</v>
      </c>
      <c r="F8" s="13">
        <f t="shared" si="0"/>
        <v>0.246479877854898</v>
      </c>
      <c r="G8" s="12">
        <v>25171.13</v>
      </c>
      <c r="H8" s="12">
        <v>743.73</v>
      </c>
      <c r="I8" s="12">
        <v>26304.86</v>
      </c>
      <c r="J8" s="12">
        <v>9732.16</v>
      </c>
      <c r="K8" s="13">
        <f t="shared" si="1"/>
        <v>0.369975738323641</v>
      </c>
      <c r="L8" s="12">
        <f t="shared" si="2"/>
        <v>18.0037648272305</v>
      </c>
    </row>
    <row r="9" ht="15" customHeight="1" spans="1:12">
      <c r="A9" s="14" t="s">
        <v>17</v>
      </c>
      <c r="B9" s="15">
        <v>1473</v>
      </c>
      <c r="C9" s="15">
        <v>2587</v>
      </c>
      <c r="D9" s="16">
        <v>25963.5</v>
      </c>
      <c r="E9" s="16">
        <v>5375.73</v>
      </c>
      <c r="F9" s="17">
        <f t="shared" si="0"/>
        <v>0.207049511814663</v>
      </c>
      <c r="G9" s="16">
        <v>19997.14</v>
      </c>
      <c r="H9" s="16">
        <v>18.69</v>
      </c>
      <c r="I9" s="16">
        <v>20587.77</v>
      </c>
      <c r="J9" s="16">
        <v>8313.24</v>
      </c>
      <c r="K9" s="17">
        <f t="shared" si="1"/>
        <v>0.403795068625694</v>
      </c>
      <c r="L9" s="16">
        <f t="shared" si="2"/>
        <v>17.6262729124236</v>
      </c>
    </row>
    <row r="10" ht="15" customHeight="1" spans="1:12">
      <c r="A10" s="10" t="s">
        <v>18</v>
      </c>
      <c r="B10" s="11">
        <v>1102</v>
      </c>
      <c r="C10" s="11">
        <v>1862</v>
      </c>
      <c r="D10" s="12">
        <v>16669</v>
      </c>
      <c r="E10" s="12">
        <v>2510.6</v>
      </c>
      <c r="F10" s="13">
        <f t="shared" si="0"/>
        <v>0.150614913912052</v>
      </c>
      <c r="G10" s="12">
        <v>13232.23</v>
      </c>
      <c r="H10" s="12">
        <v>78.1</v>
      </c>
      <c r="I10" s="12">
        <v>14158.4</v>
      </c>
      <c r="J10" s="12">
        <v>6377.63</v>
      </c>
      <c r="K10" s="13">
        <f t="shared" si="1"/>
        <v>0.450448497005311</v>
      </c>
      <c r="L10" s="12">
        <f t="shared" si="2"/>
        <v>15.1261343012704</v>
      </c>
    </row>
    <row r="11" ht="15" customHeight="1" spans="1:12">
      <c r="A11" s="14" t="s">
        <v>19</v>
      </c>
      <c r="B11" s="15">
        <v>640</v>
      </c>
      <c r="C11" s="15">
        <v>1065</v>
      </c>
      <c r="D11" s="16">
        <v>9522.7</v>
      </c>
      <c r="E11" s="16">
        <v>960.55</v>
      </c>
      <c r="F11" s="17">
        <f t="shared" si="0"/>
        <v>0.100869501296901</v>
      </c>
      <c r="G11" s="16">
        <v>8194.55</v>
      </c>
      <c r="H11" s="16">
        <v>2</v>
      </c>
      <c r="I11" s="16">
        <v>8562.15</v>
      </c>
      <c r="J11" s="16">
        <v>4178.76</v>
      </c>
      <c r="K11" s="17">
        <f t="shared" si="1"/>
        <v>0.488050314465409</v>
      </c>
      <c r="L11" s="16">
        <f t="shared" si="2"/>
        <v>14.87921875</v>
      </c>
    </row>
    <row r="12" ht="15" customHeight="1" spans="1:12">
      <c r="A12" s="10" t="s">
        <v>20</v>
      </c>
      <c r="B12" s="11">
        <v>634</v>
      </c>
      <c r="C12" s="11">
        <v>1096</v>
      </c>
      <c r="D12" s="12">
        <v>9778.6</v>
      </c>
      <c r="E12" s="12">
        <v>798.16</v>
      </c>
      <c r="F12" s="13">
        <f t="shared" si="0"/>
        <v>0.081623136236271</v>
      </c>
      <c r="G12" s="12">
        <v>8728.26</v>
      </c>
      <c r="H12" s="12">
        <v>0</v>
      </c>
      <c r="I12" s="12">
        <v>8980.44</v>
      </c>
      <c r="J12" s="12">
        <v>4624.48</v>
      </c>
      <c r="K12" s="13">
        <f t="shared" si="1"/>
        <v>0.514950269697253</v>
      </c>
      <c r="L12" s="12">
        <f t="shared" si="2"/>
        <v>15.4236593059937</v>
      </c>
    </row>
    <row r="13" ht="15" customHeight="1" spans="1:12">
      <c r="A13" s="14" t="s">
        <v>21</v>
      </c>
      <c r="B13" s="15">
        <v>720</v>
      </c>
      <c r="C13" s="15">
        <v>1260</v>
      </c>
      <c r="D13" s="16">
        <v>10047.9</v>
      </c>
      <c r="E13" s="16">
        <v>518.43</v>
      </c>
      <c r="F13" s="17">
        <f t="shared" si="0"/>
        <v>0.0515958558504762</v>
      </c>
      <c r="G13" s="16">
        <v>9228.17</v>
      </c>
      <c r="H13" s="16">
        <v>0</v>
      </c>
      <c r="I13" s="16">
        <v>9529.47</v>
      </c>
      <c r="J13" s="16">
        <v>5005.46</v>
      </c>
      <c r="K13" s="17">
        <f t="shared" si="1"/>
        <v>0.525261111058642</v>
      </c>
      <c r="L13" s="16">
        <f t="shared" si="2"/>
        <v>13.9554166666667</v>
      </c>
    </row>
    <row r="14" ht="15" customHeight="1" spans="1:12">
      <c r="A14" s="10" t="s">
        <v>22</v>
      </c>
      <c r="B14" s="11">
        <v>274</v>
      </c>
      <c r="C14" s="11">
        <v>495</v>
      </c>
      <c r="D14" s="12">
        <v>3985.8</v>
      </c>
      <c r="E14" s="12">
        <v>253.79</v>
      </c>
      <c r="F14" s="13">
        <f t="shared" si="0"/>
        <v>0.0636735410708013</v>
      </c>
      <c r="G14" s="12">
        <v>3683.11</v>
      </c>
      <c r="H14" s="12">
        <v>0</v>
      </c>
      <c r="I14" s="12">
        <v>3732.01</v>
      </c>
      <c r="J14" s="12">
        <v>1970.58</v>
      </c>
      <c r="K14" s="13">
        <f t="shared" si="1"/>
        <v>0.528021093191069</v>
      </c>
      <c r="L14" s="12">
        <f t="shared" si="2"/>
        <v>14.5467153284672</v>
      </c>
    </row>
    <row r="15" ht="15" customHeight="1" spans="1:12">
      <c r="A15" s="14" t="s">
        <v>23</v>
      </c>
      <c r="B15" s="16">
        <v>0</v>
      </c>
      <c r="C15" s="16">
        <v>0</v>
      </c>
      <c r="D15" s="16">
        <v>0</v>
      </c>
      <c r="E15" s="16">
        <v>0</v>
      </c>
      <c r="F15" s="17" t="str">
        <f t="shared" si="0"/>
        <v>-</v>
      </c>
      <c r="G15" s="16">
        <v>0</v>
      </c>
      <c r="H15" s="16">
        <v>0</v>
      </c>
      <c r="I15" s="16">
        <v>0</v>
      </c>
      <c r="J15" s="16" t="str">
        <f>IF(I15=0,"-",I15-0)</f>
        <v>-</v>
      </c>
      <c r="K15" s="17" t="str">
        <f t="shared" si="1"/>
        <v>-</v>
      </c>
      <c r="L15" s="16" t="str">
        <f t="shared" si="2"/>
        <v>-</v>
      </c>
    </row>
    <row r="16" ht="15" customHeight="1" spans="1:12">
      <c r="A16" s="10" t="s">
        <v>24</v>
      </c>
      <c r="B16" s="11">
        <v>221</v>
      </c>
      <c r="C16" s="11">
        <v>382</v>
      </c>
      <c r="D16" s="12">
        <v>2989.1</v>
      </c>
      <c r="E16" s="12">
        <v>210.03</v>
      </c>
      <c r="F16" s="13">
        <f t="shared" si="0"/>
        <v>0.0702652972466629</v>
      </c>
      <c r="G16" s="12">
        <v>2607.89</v>
      </c>
      <c r="H16" s="12">
        <v>156.18</v>
      </c>
      <c r="I16" s="12">
        <v>2779.07</v>
      </c>
      <c r="J16" s="12">
        <v>1363.82</v>
      </c>
      <c r="K16" s="13">
        <f t="shared" si="1"/>
        <v>0.490746904540008</v>
      </c>
      <c r="L16" s="12">
        <f t="shared" si="2"/>
        <v>13.5253393665158</v>
      </c>
    </row>
    <row r="17" ht="15" customHeight="1" spans="1:12">
      <c r="A17" s="14" t="s">
        <v>25</v>
      </c>
      <c r="B17" s="15">
        <v>670</v>
      </c>
      <c r="C17" s="15">
        <v>1146</v>
      </c>
      <c r="D17" s="16">
        <v>8915.4</v>
      </c>
      <c r="E17" s="16">
        <v>542.77</v>
      </c>
      <c r="F17" s="17">
        <f t="shared" si="0"/>
        <v>0.060880050250129</v>
      </c>
      <c r="G17" s="16">
        <v>8206.68</v>
      </c>
      <c r="H17" s="16">
        <v>108.25</v>
      </c>
      <c r="I17" s="16">
        <v>8372.63</v>
      </c>
      <c r="J17" s="16">
        <v>4203.86</v>
      </c>
      <c r="K17" s="17">
        <f t="shared" si="1"/>
        <v>0.502095518373558</v>
      </c>
      <c r="L17" s="16">
        <f t="shared" si="2"/>
        <v>13.3065671641791</v>
      </c>
    </row>
    <row r="18" ht="15" customHeight="1" spans="1:12">
      <c r="A18" s="10" t="s">
        <v>26</v>
      </c>
      <c r="B18" s="11">
        <v>654</v>
      </c>
      <c r="C18" s="11">
        <v>1036</v>
      </c>
      <c r="D18" s="12">
        <v>7856.3</v>
      </c>
      <c r="E18" s="12">
        <v>359.09</v>
      </c>
      <c r="F18" s="13">
        <f t="shared" si="0"/>
        <v>0.0457072667795273</v>
      </c>
      <c r="G18" s="12">
        <v>7472.31</v>
      </c>
      <c r="H18" s="12">
        <v>0</v>
      </c>
      <c r="I18" s="12">
        <v>7497.21</v>
      </c>
      <c r="J18" s="12">
        <v>3846.96</v>
      </c>
      <c r="K18" s="13">
        <f t="shared" si="1"/>
        <v>0.513118880223443</v>
      </c>
      <c r="L18" s="12">
        <f t="shared" si="2"/>
        <v>12.0126911314985</v>
      </c>
    </row>
    <row r="19" ht="15" spans="1:12">
      <c r="A19" s="14" t="s">
        <v>27</v>
      </c>
      <c r="B19" s="15">
        <v>727</v>
      </c>
      <c r="C19" s="15">
        <v>1195</v>
      </c>
      <c r="D19" s="16">
        <v>8064.9</v>
      </c>
      <c r="E19" s="16">
        <v>261.62</v>
      </c>
      <c r="F19" s="17">
        <f t="shared" si="0"/>
        <v>0.0324393358876118</v>
      </c>
      <c r="G19" s="16">
        <v>7735.38</v>
      </c>
      <c r="H19" s="16">
        <v>0</v>
      </c>
      <c r="I19" s="16">
        <v>7803.28</v>
      </c>
      <c r="J19" s="16">
        <v>3990.26</v>
      </c>
      <c r="K19" s="17">
        <f t="shared" si="1"/>
        <v>0.511356762797183</v>
      </c>
      <c r="L19" s="16">
        <f t="shared" si="2"/>
        <v>11.0933975240715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2">
        <v>0</v>
      </c>
      <c r="C2" s="12">
        <v>0</v>
      </c>
      <c r="D2" s="12">
        <v>0</v>
      </c>
      <c r="E2" s="12">
        <v>0</v>
      </c>
      <c r="F2" s="13" t="str">
        <f t="shared" ref="F2:F19" si="0">IF(D2=0,"-",E2/D2)</f>
        <v>-</v>
      </c>
      <c r="G2" s="12">
        <v>0</v>
      </c>
      <c r="H2" s="12">
        <v>0</v>
      </c>
      <c r="I2" s="12">
        <v>0</v>
      </c>
      <c r="J2" s="12" t="str">
        <f t="shared" ref="J2:J9" si="1">IF(I2=0,"-",I2-0)</f>
        <v>-</v>
      </c>
      <c r="K2" s="13" t="str">
        <f t="shared" ref="K2:K19" si="2">IF(I2=0,"-",J2/I2)</f>
        <v>-</v>
      </c>
      <c r="L2" s="12" t="str">
        <f t="shared" ref="L2:L19" si="3">IF(B2=0,"-",D2/B2)</f>
        <v>-</v>
      </c>
    </row>
    <row r="3" ht="15" customHeight="1" spans="1:12">
      <c r="A3" s="14" t="s">
        <v>11</v>
      </c>
      <c r="B3" s="16">
        <v>0</v>
      </c>
      <c r="C3" s="16">
        <v>0</v>
      </c>
      <c r="D3" s="16">
        <v>0</v>
      </c>
      <c r="E3" s="16">
        <v>0</v>
      </c>
      <c r="F3" s="17" t="str">
        <f t="shared" si="0"/>
        <v>-</v>
      </c>
      <c r="G3" s="16">
        <v>0</v>
      </c>
      <c r="H3" s="16">
        <v>0</v>
      </c>
      <c r="I3" s="16">
        <v>0</v>
      </c>
      <c r="J3" s="16" t="str">
        <f t="shared" si="1"/>
        <v>-</v>
      </c>
      <c r="K3" s="17" t="str">
        <f t="shared" si="2"/>
        <v>-</v>
      </c>
      <c r="L3" s="16" t="str">
        <f t="shared" si="3"/>
        <v>-</v>
      </c>
    </row>
    <row r="4" ht="15" customHeight="1" spans="1:12">
      <c r="A4" s="10" t="s">
        <v>12</v>
      </c>
      <c r="B4" s="12">
        <v>0</v>
      </c>
      <c r="C4" s="12">
        <v>0</v>
      </c>
      <c r="D4" s="12">
        <v>0</v>
      </c>
      <c r="E4" s="12">
        <v>0</v>
      </c>
      <c r="F4" s="13" t="str">
        <f t="shared" si="0"/>
        <v>-</v>
      </c>
      <c r="G4" s="12">
        <v>0</v>
      </c>
      <c r="H4" s="12">
        <v>0</v>
      </c>
      <c r="I4" s="12">
        <v>0</v>
      </c>
      <c r="J4" s="12" t="str">
        <f t="shared" si="1"/>
        <v>-</v>
      </c>
      <c r="K4" s="13" t="str">
        <f t="shared" si="2"/>
        <v>-</v>
      </c>
      <c r="L4" s="12" t="str">
        <f t="shared" si="3"/>
        <v>-</v>
      </c>
    </row>
    <row r="5" ht="15" customHeight="1" spans="1:12">
      <c r="A5" s="14" t="s">
        <v>13</v>
      </c>
      <c r="B5" s="16">
        <v>0</v>
      </c>
      <c r="C5" s="16">
        <v>0</v>
      </c>
      <c r="D5" s="16">
        <v>0</v>
      </c>
      <c r="E5" s="16">
        <v>0</v>
      </c>
      <c r="F5" s="17" t="str">
        <f t="shared" si="0"/>
        <v>-</v>
      </c>
      <c r="G5" s="16">
        <v>0</v>
      </c>
      <c r="H5" s="16">
        <v>0</v>
      </c>
      <c r="I5" s="16">
        <v>0</v>
      </c>
      <c r="J5" s="16" t="str">
        <f t="shared" si="1"/>
        <v>-</v>
      </c>
      <c r="K5" s="17" t="str">
        <f t="shared" si="2"/>
        <v>-</v>
      </c>
      <c r="L5" s="16" t="str">
        <f t="shared" si="3"/>
        <v>-</v>
      </c>
    </row>
    <row r="6" ht="15" customHeight="1" spans="1:12">
      <c r="A6" s="10" t="s">
        <v>14</v>
      </c>
      <c r="B6" s="12">
        <v>0</v>
      </c>
      <c r="C6" s="12">
        <v>0</v>
      </c>
      <c r="D6" s="12">
        <v>0</v>
      </c>
      <c r="E6" s="12">
        <v>0</v>
      </c>
      <c r="F6" s="13" t="str">
        <f t="shared" si="0"/>
        <v>-</v>
      </c>
      <c r="G6" s="12">
        <v>0</v>
      </c>
      <c r="H6" s="12">
        <v>0</v>
      </c>
      <c r="I6" s="12">
        <v>0</v>
      </c>
      <c r="J6" s="12" t="str">
        <f t="shared" si="1"/>
        <v>-</v>
      </c>
      <c r="K6" s="13" t="str">
        <f t="shared" si="2"/>
        <v>-</v>
      </c>
      <c r="L6" s="12" t="str">
        <f t="shared" si="3"/>
        <v>-</v>
      </c>
    </row>
    <row r="7" ht="15" customHeight="1" spans="1:12">
      <c r="A7" s="14" t="s">
        <v>15</v>
      </c>
      <c r="B7" s="16">
        <v>0</v>
      </c>
      <c r="C7" s="16">
        <v>0</v>
      </c>
      <c r="D7" s="16">
        <v>0</v>
      </c>
      <c r="E7" s="16">
        <v>0</v>
      </c>
      <c r="F7" s="17" t="str">
        <f t="shared" si="0"/>
        <v>-</v>
      </c>
      <c r="G7" s="16">
        <v>0</v>
      </c>
      <c r="H7" s="16">
        <v>0</v>
      </c>
      <c r="I7" s="16">
        <v>0</v>
      </c>
      <c r="J7" s="16" t="str">
        <f t="shared" si="1"/>
        <v>-</v>
      </c>
      <c r="K7" s="17" t="str">
        <f t="shared" si="2"/>
        <v>-</v>
      </c>
      <c r="L7" s="16" t="str">
        <f t="shared" si="3"/>
        <v>-</v>
      </c>
    </row>
    <row r="8" ht="15" customHeight="1" spans="1:12">
      <c r="A8" s="10" t="s">
        <v>16</v>
      </c>
      <c r="B8" s="12">
        <v>0</v>
      </c>
      <c r="C8" s="12">
        <v>0</v>
      </c>
      <c r="D8" s="12">
        <v>0</v>
      </c>
      <c r="E8" s="12">
        <v>0</v>
      </c>
      <c r="F8" s="13" t="str">
        <f t="shared" si="0"/>
        <v>-</v>
      </c>
      <c r="G8" s="12">
        <v>0</v>
      </c>
      <c r="H8" s="12">
        <v>0</v>
      </c>
      <c r="I8" s="12">
        <v>0</v>
      </c>
      <c r="J8" s="12" t="str">
        <f t="shared" si="1"/>
        <v>-</v>
      </c>
      <c r="K8" s="13" t="str">
        <f t="shared" si="2"/>
        <v>-</v>
      </c>
      <c r="L8" s="12" t="str">
        <f t="shared" si="3"/>
        <v>-</v>
      </c>
    </row>
    <row r="9" ht="15" customHeight="1" spans="1:12">
      <c r="A9" s="14" t="s">
        <v>17</v>
      </c>
      <c r="B9" s="16">
        <v>0</v>
      </c>
      <c r="C9" s="16">
        <v>0</v>
      </c>
      <c r="D9" s="16">
        <v>0</v>
      </c>
      <c r="E9" s="16">
        <v>0</v>
      </c>
      <c r="F9" s="17" t="str">
        <f t="shared" si="0"/>
        <v>-</v>
      </c>
      <c r="G9" s="16">
        <v>0</v>
      </c>
      <c r="H9" s="16">
        <v>0</v>
      </c>
      <c r="I9" s="16">
        <v>0</v>
      </c>
      <c r="J9" s="16" t="str">
        <f t="shared" si="1"/>
        <v>-</v>
      </c>
      <c r="K9" s="17" t="str">
        <f t="shared" si="2"/>
        <v>-</v>
      </c>
      <c r="L9" s="16" t="str">
        <f t="shared" si="3"/>
        <v>-</v>
      </c>
    </row>
    <row r="10" ht="15" customHeight="1" spans="1:12">
      <c r="A10" s="10" t="s">
        <v>18</v>
      </c>
      <c r="B10" s="11">
        <v>360</v>
      </c>
      <c r="C10" s="11">
        <v>744</v>
      </c>
      <c r="D10" s="12">
        <v>6547.4</v>
      </c>
      <c r="E10" s="12">
        <v>1096.49</v>
      </c>
      <c r="F10" s="13">
        <f t="shared" si="0"/>
        <v>0.167469529889727</v>
      </c>
      <c r="G10" s="12">
        <v>5388.21</v>
      </c>
      <c r="H10" s="12">
        <v>29.7</v>
      </c>
      <c r="I10" s="12">
        <v>5450.91</v>
      </c>
      <c r="J10" s="12">
        <v>2492.36</v>
      </c>
      <c r="K10" s="13">
        <f t="shared" si="2"/>
        <v>0.457237415404034</v>
      </c>
      <c r="L10" s="12">
        <f t="shared" si="3"/>
        <v>18.1872222222222</v>
      </c>
    </row>
    <row r="11" ht="15" customHeight="1" spans="1:12">
      <c r="A11" s="14" t="s">
        <v>19</v>
      </c>
      <c r="B11" s="15">
        <v>706</v>
      </c>
      <c r="C11" s="15">
        <v>1445</v>
      </c>
      <c r="D11" s="16">
        <v>12402.4</v>
      </c>
      <c r="E11" s="16">
        <v>1761.58</v>
      </c>
      <c r="F11" s="17">
        <f t="shared" si="0"/>
        <v>0.142035412500806</v>
      </c>
      <c r="G11" s="16">
        <v>10640.82</v>
      </c>
      <c r="H11" s="16">
        <v>0</v>
      </c>
      <c r="I11" s="16">
        <v>10640.82</v>
      </c>
      <c r="J11" s="16">
        <v>5006.5</v>
      </c>
      <c r="K11" s="17">
        <f t="shared" si="2"/>
        <v>0.470499453989448</v>
      </c>
      <c r="L11" s="16">
        <f t="shared" si="3"/>
        <v>17.5671388101983</v>
      </c>
    </row>
    <row r="12" ht="15" customHeight="1" spans="1:12">
      <c r="A12" s="10" t="s">
        <v>20</v>
      </c>
      <c r="B12" s="11">
        <v>704</v>
      </c>
      <c r="C12" s="11">
        <v>1433</v>
      </c>
      <c r="D12" s="12">
        <v>12225</v>
      </c>
      <c r="E12" s="12">
        <v>1704.63</v>
      </c>
      <c r="F12" s="13">
        <f t="shared" si="0"/>
        <v>0.139438036809816</v>
      </c>
      <c r="G12" s="12">
        <v>10496.37</v>
      </c>
      <c r="H12" s="12">
        <v>0</v>
      </c>
      <c r="I12" s="12">
        <v>10520.37</v>
      </c>
      <c r="J12" s="12">
        <v>5059.09</v>
      </c>
      <c r="K12" s="13">
        <f t="shared" si="2"/>
        <v>0.480885177992789</v>
      </c>
      <c r="L12" s="12">
        <f t="shared" si="3"/>
        <v>17.3650568181818</v>
      </c>
    </row>
    <row r="13" ht="15" customHeight="1" spans="1:12">
      <c r="A13" s="14" t="s">
        <v>21</v>
      </c>
      <c r="B13" s="15">
        <v>809</v>
      </c>
      <c r="C13" s="15">
        <v>1578</v>
      </c>
      <c r="D13" s="16">
        <v>13367.6</v>
      </c>
      <c r="E13" s="16">
        <v>1260.49</v>
      </c>
      <c r="F13" s="17">
        <f t="shared" si="0"/>
        <v>0.0942944133576708</v>
      </c>
      <c r="G13" s="16">
        <v>11788.81</v>
      </c>
      <c r="H13" s="16">
        <v>273.3</v>
      </c>
      <c r="I13" s="16">
        <v>12107.11</v>
      </c>
      <c r="J13" s="16">
        <v>5791.67</v>
      </c>
      <c r="K13" s="17">
        <f t="shared" si="2"/>
        <v>0.478369321828248</v>
      </c>
      <c r="L13" s="16">
        <f t="shared" si="3"/>
        <v>16.523609394314</v>
      </c>
    </row>
    <row r="14" ht="15" customHeight="1" spans="1:12">
      <c r="A14" s="10" t="s">
        <v>22</v>
      </c>
      <c r="B14" s="11">
        <v>624</v>
      </c>
      <c r="C14" s="11">
        <v>1246</v>
      </c>
      <c r="D14" s="12">
        <v>9867</v>
      </c>
      <c r="E14" s="12">
        <v>868.69</v>
      </c>
      <c r="F14" s="13">
        <f t="shared" si="0"/>
        <v>0.0880399310834094</v>
      </c>
      <c r="G14" s="12">
        <v>8998.31</v>
      </c>
      <c r="H14" s="12">
        <v>0</v>
      </c>
      <c r="I14" s="12">
        <v>8998.31</v>
      </c>
      <c r="J14" s="12">
        <v>4479.12</v>
      </c>
      <c r="K14" s="13">
        <f t="shared" si="2"/>
        <v>0.497773470796183</v>
      </c>
      <c r="L14" s="12">
        <f t="shared" si="3"/>
        <v>15.8125</v>
      </c>
    </row>
    <row r="15" ht="15" customHeight="1" spans="1:12">
      <c r="A15" s="14" t="s">
        <v>23</v>
      </c>
      <c r="B15" s="16">
        <v>0</v>
      </c>
      <c r="C15" s="16">
        <v>0</v>
      </c>
      <c r="D15" s="16">
        <v>0</v>
      </c>
      <c r="E15" s="16">
        <v>0</v>
      </c>
      <c r="F15" s="17" t="str">
        <f t="shared" si="0"/>
        <v>-</v>
      </c>
      <c r="G15" s="16">
        <v>0</v>
      </c>
      <c r="H15" s="16">
        <v>0</v>
      </c>
      <c r="I15" s="16">
        <v>0</v>
      </c>
      <c r="J15" s="16" t="str">
        <f>IF(I15=0,"-",I15-0)</f>
        <v>-</v>
      </c>
      <c r="K15" s="17" t="str">
        <f t="shared" si="2"/>
        <v>-</v>
      </c>
      <c r="L15" s="16" t="str">
        <f t="shared" si="3"/>
        <v>-</v>
      </c>
    </row>
    <row r="16" ht="15" customHeight="1" spans="1:12">
      <c r="A16" s="10" t="s">
        <v>24</v>
      </c>
      <c r="B16" s="11">
        <v>495</v>
      </c>
      <c r="C16" s="11">
        <v>846</v>
      </c>
      <c r="D16" s="12">
        <v>6530.2</v>
      </c>
      <c r="E16" s="12">
        <v>415.2</v>
      </c>
      <c r="F16" s="13">
        <f t="shared" si="0"/>
        <v>0.0635815135830449</v>
      </c>
      <c r="G16" s="12">
        <v>5833.9</v>
      </c>
      <c r="H16" s="12">
        <v>281.1</v>
      </c>
      <c r="I16" s="12">
        <v>6115</v>
      </c>
      <c r="J16" s="12">
        <v>2989.13</v>
      </c>
      <c r="K16" s="13">
        <f t="shared" si="2"/>
        <v>0.48881929681112</v>
      </c>
      <c r="L16" s="12">
        <f t="shared" si="3"/>
        <v>13.1923232323232</v>
      </c>
    </row>
    <row r="17" ht="15" customHeight="1" spans="1:12">
      <c r="A17" s="14" t="s">
        <v>25</v>
      </c>
      <c r="B17" s="15">
        <v>137</v>
      </c>
      <c r="C17" s="15">
        <v>249</v>
      </c>
      <c r="D17" s="16">
        <v>1821.4</v>
      </c>
      <c r="E17" s="16">
        <v>128.3</v>
      </c>
      <c r="F17" s="17">
        <f t="shared" si="0"/>
        <v>0.0704403206324805</v>
      </c>
      <c r="G17" s="16">
        <v>1693.1</v>
      </c>
      <c r="H17" s="16">
        <v>0</v>
      </c>
      <c r="I17" s="16">
        <v>1693.1</v>
      </c>
      <c r="J17" s="16">
        <v>811.88</v>
      </c>
      <c r="K17" s="17">
        <f t="shared" si="2"/>
        <v>0.479522768885476</v>
      </c>
      <c r="L17" s="16">
        <f t="shared" si="3"/>
        <v>13.2948905109489</v>
      </c>
    </row>
    <row r="18" ht="15" customHeight="1" spans="1:12">
      <c r="A18" s="10" t="s">
        <v>26</v>
      </c>
      <c r="B18" s="11">
        <v>168</v>
      </c>
      <c r="C18" s="11">
        <v>268</v>
      </c>
      <c r="D18" s="12">
        <v>1929.4</v>
      </c>
      <c r="E18" s="12">
        <v>120.98</v>
      </c>
      <c r="F18" s="13">
        <f t="shared" si="0"/>
        <v>0.0627034311184824</v>
      </c>
      <c r="G18" s="12">
        <v>1763.42</v>
      </c>
      <c r="H18" s="12">
        <v>0</v>
      </c>
      <c r="I18" s="12">
        <v>1808.42</v>
      </c>
      <c r="J18" s="12">
        <v>884.47</v>
      </c>
      <c r="K18" s="13">
        <f t="shared" si="2"/>
        <v>0.489084394111987</v>
      </c>
      <c r="L18" s="12">
        <f t="shared" si="3"/>
        <v>11.4845238095238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2"/>
        <v>-</v>
      </c>
      <c r="L19" s="16" t="str">
        <f t="shared" si="3"/>
        <v>-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I18" sqref="I18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263</v>
      </c>
      <c r="C2" s="11">
        <v>418</v>
      </c>
      <c r="D2" s="12">
        <v>4135.7</v>
      </c>
      <c r="E2" s="12">
        <v>628.03</v>
      </c>
      <c r="F2" s="13">
        <f t="shared" ref="F2:F19" si="0">IF(D2=0,"-",E2/D2)</f>
        <v>0.151855792247987</v>
      </c>
      <c r="G2" s="12">
        <v>2265.77</v>
      </c>
      <c r="H2" s="12">
        <v>1241.9</v>
      </c>
      <c r="I2" s="12">
        <v>3507.67</v>
      </c>
      <c r="J2" s="12">
        <v>1716.78</v>
      </c>
      <c r="K2" s="13">
        <f t="shared" ref="K2:K19" si="1">IF(I2=0,"-",J2/I2)</f>
        <v>0.489436007378117</v>
      </c>
      <c r="L2" s="12">
        <f t="shared" ref="L2:L19" si="2">IF(B2=0,"-",D2/B2)</f>
        <v>15.7250950570342</v>
      </c>
    </row>
    <row r="3" ht="15" customHeight="1" spans="1:12">
      <c r="A3" s="14" t="s">
        <v>11</v>
      </c>
      <c r="B3" s="15">
        <v>381</v>
      </c>
      <c r="C3" s="15">
        <v>617</v>
      </c>
      <c r="D3" s="16">
        <v>4824.6</v>
      </c>
      <c r="E3" s="16">
        <v>158.42</v>
      </c>
      <c r="F3" s="17">
        <f t="shared" si="0"/>
        <v>0.0328358827674833</v>
      </c>
      <c r="G3" s="16">
        <v>474.9</v>
      </c>
      <c r="H3" s="16">
        <v>4191.28</v>
      </c>
      <c r="I3" s="16">
        <v>4666.18</v>
      </c>
      <c r="J3" s="16">
        <v>2325.57</v>
      </c>
      <c r="K3" s="17">
        <f t="shared" si="1"/>
        <v>0.498388403362065</v>
      </c>
      <c r="L3" s="16">
        <f t="shared" si="2"/>
        <v>12.6629921259843</v>
      </c>
    </row>
    <row r="4" ht="15" customHeight="1" spans="1:12">
      <c r="A4" s="10" t="s">
        <v>12</v>
      </c>
      <c r="B4" s="11">
        <v>513</v>
      </c>
      <c r="C4" s="11">
        <v>1054</v>
      </c>
      <c r="D4" s="12">
        <v>8813.2</v>
      </c>
      <c r="E4" s="12">
        <v>2097.78</v>
      </c>
      <c r="F4" s="13">
        <f t="shared" si="0"/>
        <v>0.238027050333591</v>
      </c>
      <c r="G4" s="12">
        <v>1266.63</v>
      </c>
      <c r="H4" s="12">
        <v>5448.79</v>
      </c>
      <c r="I4" s="12">
        <v>6715.42</v>
      </c>
      <c r="J4" s="12">
        <v>2615.31</v>
      </c>
      <c r="K4" s="13">
        <f t="shared" si="1"/>
        <v>0.389448463387249</v>
      </c>
      <c r="L4" s="12">
        <f t="shared" si="2"/>
        <v>17.1797270955166</v>
      </c>
    </row>
    <row r="5" ht="15" customHeight="1" spans="1:12">
      <c r="A5" s="14" t="s">
        <v>13</v>
      </c>
      <c r="B5" s="16">
        <v>0</v>
      </c>
      <c r="C5" s="16">
        <v>0</v>
      </c>
      <c r="D5" s="16">
        <v>0</v>
      </c>
      <c r="E5" s="16">
        <v>0</v>
      </c>
      <c r="F5" s="17" t="str">
        <f t="shared" si="0"/>
        <v>-</v>
      </c>
      <c r="G5" s="16">
        <v>0</v>
      </c>
      <c r="H5" s="16">
        <v>0</v>
      </c>
      <c r="I5" s="16">
        <v>0</v>
      </c>
      <c r="J5" s="16" t="str">
        <f>IF(I5=0,"-",I5-0)</f>
        <v>-</v>
      </c>
      <c r="K5" s="17" t="str">
        <f t="shared" si="1"/>
        <v>-</v>
      </c>
      <c r="L5" s="16" t="str">
        <f t="shared" si="2"/>
        <v>-</v>
      </c>
    </row>
    <row r="6" ht="15" customHeight="1" spans="1:12">
      <c r="A6" s="10" t="s">
        <v>14</v>
      </c>
      <c r="B6" s="11">
        <v>147</v>
      </c>
      <c r="C6" s="11">
        <v>316</v>
      </c>
      <c r="D6" s="12">
        <v>2776.9</v>
      </c>
      <c r="E6" s="12">
        <v>286.01</v>
      </c>
      <c r="F6" s="13">
        <f t="shared" si="0"/>
        <v>0.102996146782383</v>
      </c>
      <c r="G6" s="12">
        <v>1427.38</v>
      </c>
      <c r="H6" s="12">
        <v>1063.51</v>
      </c>
      <c r="I6" s="12">
        <v>2490.89</v>
      </c>
      <c r="J6" s="12">
        <v>1138.15</v>
      </c>
      <c r="K6" s="13">
        <f t="shared" si="1"/>
        <v>0.456925034826909</v>
      </c>
      <c r="L6" s="12">
        <f t="shared" si="2"/>
        <v>18.8904761904762</v>
      </c>
    </row>
    <row r="7" ht="15" customHeight="1" spans="1:12">
      <c r="A7" s="14" t="s">
        <v>15</v>
      </c>
      <c r="B7" s="15">
        <v>1220</v>
      </c>
      <c r="C7" s="15">
        <v>1992</v>
      </c>
      <c r="D7" s="16">
        <v>17921.1</v>
      </c>
      <c r="E7" s="16">
        <v>2382.32</v>
      </c>
      <c r="F7" s="17">
        <f t="shared" si="0"/>
        <v>0.132933804286567</v>
      </c>
      <c r="G7" s="16">
        <v>87.8</v>
      </c>
      <c r="H7" s="16">
        <v>15450.98</v>
      </c>
      <c r="I7" s="16">
        <v>15538.78</v>
      </c>
      <c r="J7" s="16">
        <v>6774.64</v>
      </c>
      <c r="K7" s="17">
        <f t="shared" si="1"/>
        <v>0.43598274768032</v>
      </c>
      <c r="L7" s="16">
        <f t="shared" si="2"/>
        <v>14.6894262295082</v>
      </c>
    </row>
    <row r="8" ht="15" customHeight="1" spans="1:12">
      <c r="A8" s="10" t="s">
        <v>16</v>
      </c>
      <c r="B8" s="11">
        <v>1250</v>
      </c>
      <c r="C8" s="11">
        <v>2118</v>
      </c>
      <c r="D8" s="12">
        <v>17286.5</v>
      </c>
      <c r="E8" s="12">
        <v>1365.04</v>
      </c>
      <c r="F8" s="13">
        <f t="shared" si="0"/>
        <v>0.0789656668498539</v>
      </c>
      <c r="G8" s="12">
        <v>160.88</v>
      </c>
      <c r="H8" s="12">
        <v>15715.98</v>
      </c>
      <c r="I8" s="12">
        <v>15921.46</v>
      </c>
      <c r="J8" s="12">
        <v>7053.74</v>
      </c>
      <c r="K8" s="13">
        <f t="shared" si="1"/>
        <v>0.443033490647215</v>
      </c>
      <c r="L8" s="12">
        <f t="shared" si="2"/>
        <v>13.8292</v>
      </c>
    </row>
    <row r="9" ht="15" customHeight="1" spans="1:12">
      <c r="A9" s="14" t="s">
        <v>17</v>
      </c>
      <c r="B9" s="15">
        <v>1010</v>
      </c>
      <c r="C9" s="15">
        <v>1734</v>
      </c>
      <c r="D9" s="16">
        <v>13086.6</v>
      </c>
      <c r="E9" s="16">
        <v>720.91</v>
      </c>
      <c r="F9" s="17">
        <f t="shared" si="0"/>
        <v>0.0550876469059954</v>
      </c>
      <c r="G9" s="16">
        <v>86.13</v>
      </c>
      <c r="H9" s="16">
        <v>12188.26</v>
      </c>
      <c r="I9" s="16">
        <v>12365.69</v>
      </c>
      <c r="J9" s="16">
        <v>5443.78</v>
      </c>
      <c r="K9" s="17">
        <f t="shared" si="1"/>
        <v>0.440232611362568</v>
      </c>
      <c r="L9" s="16">
        <f t="shared" si="2"/>
        <v>12.9570297029703</v>
      </c>
    </row>
    <row r="10" ht="15" customHeight="1" spans="1:12">
      <c r="A10" s="10" t="s">
        <v>18</v>
      </c>
      <c r="B10" s="11">
        <v>873</v>
      </c>
      <c r="C10" s="11">
        <v>1478</v>
      </c>
      <c r="D10" s="12">
        <v>11235.9</v>
      </c>
      <c r="E10" s="12">
        <v>641.93</v>
      </c>
      <c r="F10" s="13">
        <f t="shared" si="0"/>
        <v>0.0571320499470447</v>
      </c>
      <c r="G10" s="12">
        <v>49.44</v>
      </c>
      <c r="H10" s="12">
        <v>10515.73</v>
      </c>
      <c r="I10" s="12">
        <v>10593.97</v>
      </c>
      <c r="J10" s="12">
        <v>5136.11</v>
      </c>
      <c r="K10" s="13">
        <f t="shared" si="1"/>
        <v>0.484814474649258</v>
      </c>
      <c r="L10" s="12">
        <f t="shared" si="2"/>
        <v>12.8704467353952</v>
      </c>
    </row>
    <row r="11" ht="15" customHeight="1" spans="1:12">
      <c r="A11" s="14" t="s">
        <v>19</v>
      </c>
      <c r="B11" s="15">
        <v>246</v>
      </c>
      <c r="C11" s="15">
        <v>439</v>
      </c>
      <c r="D11" s="16">
        <v>3389.4</v>
      </c>
      <c r="E11" s="16">
        <v>175.52</v>
      </c>
      <c r="F11" s="17">
        <f t="shared" si="0"/>
        <v>0.0517849766920399</v>
      </c>
      <c r="G11" s="16">
        <v>416.2</v>
      </c>
      <c r="H11" s="16">
        <v>2784.78</v>
      </c>
      <c r="I11" s="16">
        <v>3213.88</v>
      </c>
      <c r="J11" s="16">
        <v>1668.52</v>
      </c>
      <c r="K11" s="17">
        <f t="shared" si="1"/>
        <v>0.519160640720873</v>
      </c>
      <c r="L11" s="16">
        <f t="shared" si="2"/>
        <v>13.7780487804878</v>
      </c>
    </row>
    <row r="12" ht="15" customHeight="1" spans="1:12">
      <c r="A12" s="10" t="s">
        <v>20</v>
      </c>
      <c r="B12" s="11">
        <v>678</v>
      </c>
      <c r="C12" s="11">
        <v>1145</v>
      </c>
      <c r="D12" s="12">
        <v>8295.3</v>
      </c>
      <c r="E12" s="12">
        <v>301.29</v>
      </c>
      <c r="F12" s="13">
        <f t="shared" si="0"/>
        <v>0.0363205670680988</v>
      </c>
      <c r="G12" s="12">
        <v>229.4</v>
      </c>
      <c r="H12" s="12">
        <v>7752.61</v>
      </c>
      <c r="I12" s="12">
        <v>7994.01</v>
      </c>
      <c r="J12" s="12">
        <v>4314.89</v>
      </c>
      <c r="K12" s="13">
        <f t="shared" si="1"/>
        <v>0.539765399342758</v>
      </c>
      <c r="L12" s="12">
        <f t="shared" si="2"/>
        <v>12.2349557522124</v>
      </c>
    </row>
    <row r="13" ht="15" customHeight="1" spans="1:12">
      <c r="A13" s="14" t="s">
        <v>21</v>
      </c>
      <c r="B13" s="15">
        <v>807</v>
      </c>
      <c r="C13" s="15">
        <v>1318</v>
      </c>
      <c r="D13" s="16">
        <v>9932</v>
      </c>
      <c r="E13" s="16">
        <v>462.52</v>
      </c>
      <c r="F13" s="17">
        <f t="shared" si="0"/>
        <v>0.0465686669351591</v>
      </c>
      <c r="G13" s="16">
        <v>235.72</v>
      </c>
      <c r="H13" s="16">
        <v>9119.76</v>
      </c>
      <c r="I13" s="16">
        <v>9469.48</v>
      </c>
      <c r="J13" s="16">
        <v>4981.52</v>
      </c>
      <c r="K13" s="17">
        <f t="shared" si="1"/>
        <v>0.526060565099668</v>
      </c>
      <c r="L13" s="16">
        <f t="shared" si="2"/>
        <v>12.3073110285006</v>
      </c>
    </row>
    <row r="14" ht="15" customHeight="1" spans="1:12">
      <c r="A14" s="10" t="s">
        <v>22</v>
      </c>
      <c r="B14" s="11">
        <v>220</v>
      </c>
      <c r="C14" s="11">
        <v>371</v>
      </c>
      <c r="D14" s="12">
        <v>2754.4</v>
      </c>
      <c r="E14" s="12">
        <v>196.2</v>
      </c>
      <c r="F14" s="13">
        <f t="shared" si="0"/>
        <v>0.0712314841707813</v>
      </c>
      <c r="G14" s="12">
        <v>244.12</v>
      </c>
      <c r="H14" s="12">
        <v>2284.08</v>
      </c>
      <c r="I14" s="12">
        <v>2558.2</v>
      </c>
      <c r="J14" s="12">
        <v>1352.83</v>
      </c>
      <c r="K14" s="13">
        <f t="shared" si="1"/>
        <v>0.528821046048003</v>
      </c>
      <c r="L14" s="12">
        <f t="shared" si="2"/>
        <v>12.52</v>
      </c>
    </row>
    <row r="15" ht="15" customHeight="1" spans="1:12">
      <c r="A15" s="14" t="s">
        <v>23</v>
      </c>
      <c r="B15" s="16">
        <v>0</v>
      </c>
      <c r="C15" s="16">
        <v>0</v>
      </c>
      <c r="D15" s="16">
        <v>0</v>
      </c>
      <c r="E15" s="16">
        <v>0</v>
      </c>
      <c r="F15" s="17" t="str">
        <f t="shared" si="0"/>
        <v>-</v>
      </c>
      <c r="G15" s="16">
        <v>0</v>
      </c>
      <c r="H15" s="16">
        <v>0</v>
      </c>
      <c r="I15" s="16">
        <v>0</v>
      </c>
      <c r="J15" s="16" t="str">
        <f>IF(I15=0,"-",I15-0)</f>
        <v>-</v>
      </c>
      <c r="K15" s="17" t="str">
        <f t="shared" si="1"/>
        <v>-</v>
      </c>
      <c r="L15" s="16" t="str">
        <f t="shared" si="2"/>
        <v>-</v>
      </c>
    </row>
    <row r="16" ht="15" customHeight="1" spans="1:12">
      <c r="A16" s="10" t="s">
        <v>24</v>
      </c>
      <c r="B16" s="12">
        <v>0</v>
      </c>
      <c r="C16" s="12">
        <v>0</v>
      </c>
      <c r="D16" s="12">
        <v>0</v>
      </c>
      <c r="E16" s="12">
        <v>0</v>
      </c>
      <c r="F16" s="13" t="str">
        <f t="shared" si="0"/>
        <v>-</v>
      </c>
      <c r="G16" s="12">
        <v>0</v>
      </c>
      <c r="H16" s="12">
        <v>0</v>
      </c>
      <c r="I16" s="12">
        <v>0</v>
      </c>
      <c r="J16" s="12" t="str">
        <f>IF(I16=0,"-",I16-0)</f>
        <v>-</v>
      </c>
      <c r="K16" s="13" t="str">
        <f t="shared" si="1"/>
        <v>-</v>
      </c>
      <c r="L16" s="12" t="str">
        <f t="shared" si="2"/>
        <v>-</v>
      </c>
    </row>
    <row r="17" ht="15" customHeight="1" spans="1:12">
      <c r="A17" s="14" t="s">
        <v>25</v>
      </c>
      <c r="B17" s="16">
        <v>0</v>
      </c>
      <c r="C17" s="16">
        <v>0</v>
      </c>
      <c r="D17" s="16">
        <v>0</v>
      </c>
      <c r="E17" s="16">
        <v>0</v>
      </c>
      <c r="F17" s="17" t="str">
        <f t="shared" si="0"/>
        <v>-</v>
      </c>
      <c r="G17" s="16">
        <v>0</v>
      </c>
      <c r="H17" s="16">
        <v>0</v>
      </c>
      <c r="I17" s="16">
        <v>0</v>
      </c>
      <c r="J17" s="16" t="str">
        <f>IF(I17=0,"-",I17-0)</f>
        <v>-</v>
      </c>
      <c r="K17" s="17" t="str">
        <f t="shared" si="1"/>
        <v>-</v>
      </c>
      <c r="L17" s="16" t="str">
        <f t="shared" si="2"/>
        <v>-</v>
      </c>
    </row>
    <row r="18" ht="15" customHeight="1" spans="1:12">
      <c r="A18" s="10" t="s">
        <v>26</v>
      </c>
      <c r="B18" s="11">
        <v>556</v>
      </c>
      <c r="C18" s="11">
        <v>986</v>
      </c>
      <c r="D18" s="12">
        <v>7199.7</v>
      </c>
      <c r="E18" s="12">
        <v>113.3</v>
      </c>
      <c r="F18" s="13">
        <f t="shared" si="0"/>
        <v>0.0157367668097282</v>
      </c>
      <c r="G18" s="12">
        <v>185.44</v>
      </c>
      <c r="H18" s="12">
        <v>6885.96</v>
      </c>
      <c r="I18" s="12">
        <v>7086.4</v>
      </c>
      <c r="J18" s="12">
        <v>3707.19</v>
      </c>
      <c r="K18" s="13">
        <f t="shared" si="1"/>
        <v>0.523141510498984</v>
      </c>
      <c r="L18" s="12">
        <f t="shared" si="2"/>
        <v>12.9491007194245</v>
      </c>
    </row>
    <row r="19" ht="15" spans="1:12">
      <c r="A19" s="14" t="s">
        <v>27</v>
      </c>
      <c r="B19" s="15">
        <v>986</v>
      </c>
      <c r="C19" s="15">
        <v>1614</v>
      </c>
      <c r="D19" s="16">
        <v>11670.2</v>
      </c>
      <c r="E19" s="16">
        <v>204.28</v>
      </c>
      <c r="F19" s="17">
        <f t="shared" si="0"/>
        <v>0.0175044129492211</v>
      </c>
      <c r="G19" s="16">
        <v>9.9</v>
      </c>
      <c r="H19" s="16">
        <v>11456.02</v>
      </c>
      <c r="I19" s="16">
        <v>11465.92</v>
      </c>
      <c r="J19" s="16">
        <v>5974.49</v>
      </c>
      <c r="K19" s="17">
        <f t="shared" si="1"/>
        <v>0.521065034467361</v>
      </c>
      <c r="L19" s="16">
        <f t="shared" si="2"/>
        <v>11.8359026369168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4.4"/>
  <cols>
    <col min="1" max="1" width="10.7962962962963" style="18" customWidth="1"/>
    <col min="2" max="2" width="13" style="18" customWidth="1"/>
    <col min="3" max="3" width="10.1018518518519" style="18" customWidth="1"/>
    <col min="4" max="6" width="13" style="18" customWidth="1"/>
    <col min="7" max="7" width="9.2037037037037" style="18" customWidth="1"/>
    <col min="8" max="8" width="10.1018518518519" style="18" customWidth="1"/>
    <col min="9" max="12" width="13" style="18" customWidth="1"/>
    <col min="13" max="16384" width="9" style="18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10" t="s">
        <v>10</v>
      </c>
      <c r="B2" s="11">
        <v>515</v>
      </c>
      <c r="C2" s="11">
        <v>892</v>
      </c>
      <c r="D2" s="12">
        <v>10462.4</v>
      </c>
      <c r="E2" s="12">
        <v>2170.58</v>
      </c>
      <c r="F2" s="13">
        <f t="shared" ref="F2:F19" si="0">IF(D2=0,"-",E2/D2)</f>
        <v>0.207464826426059</v>
      </c>
      <c r="G2" s="12">
        <v>8291.82</v>
      </c>
      <c r="H2" s="12">
        <v>0</v>
      </c>
      <c r="I2" s="12">
        <v>8291.82</v>
      </c>
      <c r="J2" s="12">
        <v>4051.78</v>
      </c>
      <c r="K2" s="13">
        <f t="shared" ref="K2:K19" si="1">IF(I2=0,"-",J2/I2)</f>
        <v>0.488647848120196</v>
      </c>
      <c r="L2" s="12">
        <f t="shared" ref="L2:L19" si="2">IF(B2=0,"-",D2/B2)</f>
        <v>20.3153398058252</v>
      </c>
    </row>
    <row r="3" ht="15" customHeight="1" spans="1:12">
      <c r="A3" s="14" t="s">
        <v>11</v>
      </c>
      <c r="B3" s="15">
        <v>571</v>
      </c>
      <c r="C3" s="15">
        <v>1009</v>
      </c>
      <c r="D3" s="16">
        <v>10579.8</v>
      </c>
      <c r="E3" s="16">
        <v>2186.98</v>
      </c>
      <c r="F3" s="17">
        <f t="shared" si="0"/>
        <v>0.206712792302312</v>
      </c>
      <c r="G3" s="16">
        <v>8278.39</v>
      </c>
      <c r="H3" s="16">
        <v>0</v>
      </c>
      <c r="I3" s="16">
        <v>8392.82</v>
      </c>
      <c r="J3" s="16">
        <v>4147.41</v>
      </c>
      <c r="K3" s="17">
        <f t="shared" si="1"/>
        <v>0.494161676289972</v>
      </c>
      <c r="L3" s="16">
        <f t="shared" si="2"/>
        <v>18.5285464098074</v>
      </c>
    </row>
    <row r="4" ht="15" customHeight="1" spans="1:12">
      <c r="A4" s="10" t="s">
        <v>12</v>
      </c>
      <c r="B4" s="11">
        <v>846</v>
      </c>
      <c r="C4" s="11">
        <v>1516</v>
      </c>
      <c r="D4" s="12">
        <v>18237.2</v>
      </c>
      <c r="E4" s="12">
        <v>5689.5</v>
      </c>
      <c r="F4" s="13">
        <f t="shared" si="0"/>
        <v>0.311972232579563</v>
      </c>
      <c r="G4" s="12">
        <v>10380.87</v>
      </c>
      <c r="H4" s="12">
        <v>1238.86</v>
      </c>
      <c r="I4" s="12">
        <v>12547.7</v>
      </c>
      <c r="J4" s="12">
        <v>5286.65</v>
      </c>
      <c r="K4" s="13">
        <f t="shared" si="1"/>
        <v>0.421324226750719</v>
      </c>
      <c r="L4" s="12">
        <f t="shared" si="2"/>
        <v>21.5569739952719</v>
      </c>
    </row>
    <row r="5" ht="15" customHeight="1" spans="1:12">
      <c r="A5" s="14" t="s">
        <v>13</v>
      </c>
      <c r="B5" s="15">
        <v>815</v>
      </c>
      <c r="C5" s="15">
        <v>1582</v>
      </c>
      <c r="D5" s="16">
        <v>17737</v>
      </c>
      <c r="E5" s="16">
        <v>4628.2</v>
      </c>
      <c r="F5" s="17">
        <f t="shared" si="0"/>
        <v>0.260934769126684</v>
      </c>
      <c r="G5" s="16">
        <v>10915.88</v>
      </c>
      <c r="H5" s="16">
        <v>1104.35</v>
      </c>
      <c r="I5" s="16">
        <v>13108.8</v>
      </c>
      <c r="J5" s="16">
        <v>5842.16</v>
      </c>
      <c r="K5" s="17">
        <f t="shared" si="1"/>
        <v>0.445667032832906</v>
      </c>
      <c r="L5" s="16">
        <f t="shared" si="2"/>
        <v>21.7631901840491</v>
      </c>
    </row>
    <row r="6" ht="15" customHeight="1" spans="1:12">
      <c r="A6" s="10" t="s">
        <v>14</v>
      </c>
      <c r="B6" s="11">
        <v>719</v>
      </c>
      <c r="C6" s="11">
        <v>1208</v>
      </c>
      <c r="D6" s="12">
        <v>15291.3</v>
      </c>
      <c r="E6" s="12">
        <v>5397.39</v>
      </c>
      <c r="F6" s="13">
        <f t="shared" si="0"/>
        <v>0.352971297404406</v>
      </c>
      <c r="G6" s="12">
        <v>8931.2</v>
      </c>
      <c r="H6" s="12">
        <v>0</v>
      </c>
      <c r="I6" s="12">
        <v>9893.91</v>
      </c>
      <c r="J6" s="12">
        <v>4320.91</v>
      </c>
      <c r="K6" s="13">
        <f t="shared" si="1"/>
        <v>0.436724207113265</v>
      </c>
      <c r="L6" s="12">
        <f t="shared" si="2"/>
        <v>21.267454798331</v>
      </c>
    </row>
    <row r="7" ht="15" customHeight="1" spans="1:12">
      <c r="A7" s="14" t="s">
        <v>15</v>
      </c>
      <c r="B7" s="15">
        <v>342</v>
      </c>
      <c r="C7" s="15">
        <v>554</v>
      </c>
      <c r="D7" s="16">
        <v>5852.3</v>
      </c>
      <c r="E7" s="16">
        <v>1073.92</v>
      </c>
      <c r="F7" s="17">
        <f t="shared" si="0"/>
        <v>0.183503921535123</v>
      </c>
      <c r="G7" s="16">
        <v>4270.68</v>
      </c>
      <c r="H7" s="16">
        <v>0</v>
      </c>
      <c r="I7" s="16">
        <v>4778.38</v>
      </c>
      <c r="J7" s="16">
        <v>2388.26</v>
      </c>
      <c r="K7" s="17">
        <f t="shared" si="1"/>
        <v>0.499805373369217</v>
      </c>
      <c r="L7" s="16">
        <f t="shared" si="2"/>
        <v>17.1119883040936</v>
      </c>
    </row>
    <row r="8" ht="15" customHeight="1" spans="1:12">
      <c r="A8" s="10" t="s">
        <v>16</v>
      </c>
      <c r="B8" s="11">
        <v>494</v>
      </c>
      <c r="C8" s="11">
        <v>776</v>
      </c>
      <c r="D8" s="12">
        <v>7368.3</v>
      </c>
      <c r="E8" s="12">
        <v>1393.7</v>
      </c>
      <c r="F8" s="13">
        <f t="shared" si="0"/>
        <v>0.189148107433194</v>
      </c>
      <c r="G8" s="12">
        <v>5533.1</v>
      </c>
      <c r="H8" s="12">
        <v>0</v>
      </c>
      <c r="I8" s="12">
        <v>5974.6</v>
      </c>
      <c r="J8" s="12">
        <v>2844.05</v>
      </c>
      <c r="K8" s="13">
        <f t="shared" si="1"/>
        <v>0.476023499481137</v>
      </c>
      <c r="L8" s="12">
        <f t="shared" si="2"/>
        <v>14.9155870445344</v>
      </c>
    </row>
    <row r="9" ht="15" customHeight="1" spans="1:12">
      <c r="A9" s="14" t="s">
        <v>17</v>
      </c>
      <c r="B9" s="15">
        <v>451</v>
      </c>
      <c r="C9" s="15">
        <v>667</v>
      </c>
      <c r="D9" s="16">
        <v>6232.4</v>
      </c>
      <c r="E9" s="16">
        <v>1227.68</v>
      </c>
      <c r="F9" s="17">
        <f t="shared" si="0"/>
        <v>0.196983505551633</v>
      </c>
      <c r="G9" s="16">
        <v>4283.02</v>
      </c>
      <c r="H9" s="16">
        <v>0</v>
      </c>
      <c r="I9" s="16">
        <v>5004.72</v>
      </c>
      <c r="J9" s="16">
        <v>2379.82</v>
      </c>
      <c r="K9" s="17">
        <f t="shared" si="1"/>
        <v>0.475515113732636</v>
      </c>
      <c r="L9" s="16">
        <f t="shared" si="2"/>
        <v>13.8190687361419</v>
      </c>
    </row>
    <row r="10" ht="15" customHeight="1" spans="1:12">
      <c r="A10" s="10" t="s">
        <v>18</v>
      </c>
      <c r="B10" s="12">
        <v>0</v>
      </c>
      <c r="C10" s="12">
        <v>0</v>
      </c>
      <c r="D10" s="12">
        <v>0</v>
      </c>
      <c r="E10" s="12">
        <v>0</v>
      </c>
      <c r="F10" s="13" t="str">
        <f t="shared" si="0"/>
        <v>-</v>
      </c>
      <c r="G10" s="12">
        <v>0</v>
      </c>
      <c r="H10" s="12">
        <v>0</v>
      </c>
      <c r="I10" s="12">
        <v>0</v>
      </c>
      <c r="J10" s="12" t="str">
        <f>IF(I10=0,"-",I10-0)</f>
        <v>-</v>
      </c>
      <c r="K10" s="13" t="str">
        <f t="shared" si="1"/>
        <v>-</v>
      </c>
      <c r="L10" s="12" t="str">
        <f t="shared" si="2"/>
        <v>-</v>
      </c>
    </row>
    <row r="11" ht="15" customHeight="1" spans="1:12">
      <c r="A11" s="14" t="s">
        <v>19</v>
      </c>
      <c r="B11" s="16">
        <v>0</v>
      </c>
      <c r="C11" s="16">
        <v>0</v>
      </c>
      <c r="D11" s="16">
        <v>0</v>
      </c>
      <c r="E11" s="16">
        <v>0</v>
      </c>
      <c r="F11" s="17" t="str">
        <f t="shared" si="0"/>
        <v>-</v>
      </c>
      <c r="G11" s="16">
        <v>0</v>
      </c>
      <c r="H11" s="16">
        <v>0</v>
      </c>
      <c r="I11" s="16">
        <v>0</v>
      </c>
      <c r="J11" s="16" t="str">
        <f>IF(I11=0,"-",I11-0)</f>
        <v>-</v>
      </c>
      <c r="K11" s="17" t="str">
        <f t="shared" si="1"/>
        <v>-</v>
      </c>
      <c r="L11" s="16" t="str">
        <f t="shared" si="2"/>
        <v>-</v>
      </c>
    </row>
    <row r="12" ht="15" customHeight="1" spans="1:12">
      <c r="A12" s="10" t="s">
        <v>20</v>
      </c>
      <c r="B12" s="12">
        <v>0</v>
      </c>
      <c r="C12" s="12">
        <v>0</v>
      </c>
      <c r="D12" s="12">
        <v>0</v>
      </c>
      <c r="E12" s="12">
        <v>0</v>
      </c>
      <c r="F12" s="13" t="str">
        <f t="shared" si="0"/>
        <v>-</v>
      </c>
      <c r="G12" s="12">
        <v>0</v>
      </c>
      <c r="H12" s="12">
        <v>0</v>
      </c>
      <c r="I12" s="12">
        <v>0</v>
      </c>
      <c r="J12" s="12" t="str">
        <f>IF(I12=0,"-",I12-0)</f>
        <v>-</v>
      </c>
      <c r="K12" s="13" t="str">
        <f t="shared" si="1"/>
        <v>-</v>
      </c>
      <c r="L12" s="12" t="str">
        <f t="shared" si="2"/>
        <v>-</v>
      </c>
    </row>
    <row r="13" ht="15" customHeight="1" spans="1:12">
      <c r="A13" s="14" t="s">
        <v>21</v>
      </c>
      <c r="B13" s="15">
        <v>75</v>
      </c>
      <c r="C13" s="15">
        <v>132</v>
      </c>
      <c r="D13" s="16">
        <v>1007.6</v>
      </c>
      <c r="E13" s="16">
        <v>28.52</v>
      </c>
      <c r="F13" s="17">
        <f t="shared" si="0"/>
        <v>0.0283048828900357</v>
      </c>
      <c r="G13" s="16">
        <v>979.08</v>
      </c>
      <c r="H13" s="16">
        <v>0</v>
      </c>
      <c r="I13" s="16">
        <v>979.08</v>
      </c>
      <c r="J13" s="16">
        <v>518.54</v>
      </c>
      <c r="K13" s="17">
        <f t="shared" si="1"/>
        <v>0.529619642930098</v>
      </c>
      <c r="L13" s="16">
        <f t="shared" si="2"/>
        <v>13.4346666666667</v>
      </c>
    </row>
    <row r="14" ht="15" customHeight="1" spans="1:12">
      <c r="A14" s="10" t="s">
        <v>22</v>
      </c>
      <c r="B14" s="11">
        <v>22</v>
      </c>
      <c r="C14" s="11">
        <v>36</v>
      </c>
      <c r="D14" s="12">
        <v>258.7</v>
      </c>
      <c r="E14" s="12">
        <v>8.72</v>
      </c>
      <c r="F14" s="13">
        <f t="shared" si="0"/>
        <v>0.0337069965210669</v>
      </c>
      <c r="G14" s="12">
        <v>236.98</v>
      </c>
      <c r="H14" s="12">
        <v>0</v>
      </c>
      <c r="I14" s="12">
        <v>249.98</v>
      </c>
      <c r="J14" s="12">
        <v>134.85</v>
      </c>
      <c r="K14" s="13">
        <f t="shared" si="1"/>
        <v>0.539443155452436</v>
      </c>
      <c r="L14" s="12">
        <f t="shared" si="2"/>
        <v>11.7590909090909</v>
      </c>
    </row>
    <row r="15" ht="15" customHeight="1" spans="1:12">
      <c r="A15" s="14" t="s">
        <v>23</v>
      </c>
      <c r="B15" s="16">
        <v>0</v>
      </c>
      <c r="C15" s="16">
        <v>0</v>
      </c>
      <c r="D15" s="16">
        <v>0</v>
      </c>
      <c r="E15" s="16">
        <v>0</v>
      </c>
      <c r="F15" s="17" t="str">
        <f t="shared" si="0"/>
        <v>-</v>
      </c>
      <c r="G15" s="16">
        <v>0</v>
      </c>
      <c r="H15" s="16">
        <v>0</v>
      </c>
      <c r="I15" s="16">
        <v>0</v>
      </c>
      <c r="J15" s="16" t="str">
        <f>IF(I15=0,"-",I15-0)</f>
        <v>-</v>
      </c>
      <c r="K15" s="17" t="str">
        <f t="shared" si="1"/>
        <v>-</v>
      </c>
      <c r="L15" s="16" t="str">
        <f t="shared" si="2"/>
        <v>-</v>
      </c>
    </row>
    <row r="16" ht="15" customHeight="1" spans="1:12">
      <c r="A16" s="10" t="s">
        <v>24</v>
      </c>
      <c r="B16" s="12">
        <v>0</v>
      </c>
      <c r="C16" s="12">
        <v>0</v>
      </c>
      <c r="D16" s="12">
        <v>0</v>
      </c>
      <c r="E16" s="12">
        <v>0</v>
      </c>
      <c r="F16" s="13" t="str">
        <f t="shared" si="0"/>
        <v>-</v>
      </c>
      <c r="G16" s="12">
        <v>0</v>
      </c>
      <c r="H16" s="12">
        <v>0</v>
      </c>
      <c r="I16" s="12">
        <v>0</v>
      </c>
      <c r="J16" s="12" t="str">
        <f>IF(I16=0,"-",I16-0)</f>
        <v>-</v>
      </c>
      <c r="K16" s="13" t="str">
        <f t="shared" si="1"/>
        <v>-</v>
      </c>
      <c r="L16" s="12" t="str">
        <f t="shared" si="2"/>
        <v>-</v>
      </c>
    </row>
    <row r="17" ht="15" customHeight="1" spans="1:12">
      <c r="A17" s="14" t="s">
        <v>25</v>
      </c>
      <c r="B17" s="16">
        <v>0</v>
      </c>
      <c r="C17" s="16">
        <v>0</v>
      </c>
      <c r="D17" s="16">
        <v>0</v>
      </c>
      <c r="E17" s="16">
        <v>0</v>
      </c>
      <c r="F17" s="17" t="str">
        <f t="shared" si="0"/>
        <v>-</v>
      </c>
      <c r="G17" s="16">
        <v>0</v>
      </c>
      <c r="H17" s="16">
        <v>0</v>
      </c>
      <c r="I17" s="16">
        <v>0</v>
      </c>
      <c r="J17" s="16" t="str">
        <f>IF(I17=0,"-",I17-0)</f>
        <v>-</v>
      </c>
      <c r="K17" s="17" t="str">
        <f t="shared" si="1"/>
        <v>-</v>
      </c>
      <c r="L17" s="16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4">
        <v>0</v>
      </c>
      <c r="C2" s="4">
        <v>0</v>
      </c>
      <c r="D2" s="4">
        <v>0</v>
      </c>
      <c r="E2" s="4">
        <v>0</v>
      </c>
      <c r="F2" s="5" t="str">
        <f t="shared" ref="F2:F19" si="0">IF(D2=0,"-",E2/D2)</f>
        <v>-</v>
      </c>
      <c r="G2" s="4">
        <v>0</v>
      </c>
      <c r="H2" s="4">
        <v>0</v>
      </c>
      <c r="I2" s="4">
        <v>0</v>
      </c>
      <c r="J2" s="4" t="str">
        <f>IF(I2=0,"-",I2-0)</f>
        <v>-</v>
      </c>
      <c r="K2" s="5" t="str">
        <f t="shared" ref="K2:K19" si="1">IF(I2=0,"-",J2/I2)</f>
        <v>-</v>
      </c>
      <c r="L2" s="4" t="str">
        <f t="shared" ref="L2:L19" si="2">IF(B2=0,"-",D2/B2)</f>
        <v>-</v>
      </c>
    </row>
    <row r="3" ht="15" customHeight="1" spans="1:12">
      <c r="A3" s="6" t="s">
        <v>11</v>
      </c>
      <c r="B3" s="8">
        <v>0</v>
      </c>
      <c r="C3" s="8">
        <v>0</v>
      </c>
      <c r="D3" s="8">
        <v>0</v>
      </c>
      <c r="E3" s="8">
        <v>0</v>
      </c>
      <c r="F3" s="9" t="str">
        <f t="shared" si="0"/>
        <v>-</v>
      </c>
      <c r="G3" s="8">
        <v>0</v>
      </c>
      <c r="H3" s="8">
        <v>0</v>
      </c>
      <c r="I3" s="8">
        <v>0</v>
      </c>
      <c r="J3" s="8" t="str">
        <f>IF(I3=0,"-",I3-0)</f>
        <v>-</v>
      </c>
      <c r="K3" s="9" t="str">
        <f t="shared" si="1"/>
        <v>-</v>
      </c>
      <c r="L3" s="8" t="str">
        <f t="shared" si="2"/>
        <v>-</v>
      </c>
    </row>
    <row r="4" ht="15" customHeight="1" spans="1:12">
      <c r="A4" s="2" t="s">
        <v>12</v>
      </c>
      <c r="B4" s="4">
        <v>0</v>
      </c>
      <c r="C4" s="4">
        <v>0</v>
      </c>
      <c r="D4" s="4">
        <v>0</v>
      </c>
      <c r="E4" s="4">
        <v>0</v>
      </c>
      <c r="F4" s="5" t="str">
        <f t="shared" si="0"/>
        <v>-</v>
      </c>
      <c r="G4" s="4">
        <v>0</v>
      </c>
      <c r="H4" s="4">
        <v>0</v>
      </c>
      <c r="I4" s="4">
        <v>0</v>
      </c>
      <c r="J4" s="4" t="str">
        <f>IF(I4=0,"-",I4-0)</f>
        <v>-</v>
      </c>
      <c r="K4" s="5" t="str">
        <f t="shared" si="1"/>
        <v>-</v>
      </c>
      <c r="L4" s="4" t="str">
        <f t="shared" si="2"/>
        <v>-</v>
      </c>
    </row>
    <row r="5" ht="15" customHeight="1" spans="1:12">
      <c r="A5" s="6" t="s">
        <v>13</v>
      </c>
      <c r="B5" s="8">
        <v>0</v>
      </c>
      <c r="C5" s="8">
        <v>0</v>
      </c>
      <c r="D5" s="8">
        <v>0</v>
      </c>
      <c r="E5" s="8">
        <v>0</v>
      </c>
      <c r="F5" s="9" t="str">
        <f t="shared" si="0"/>
        <v>-</v>
      </c>
      <c r="G5" s="8">
        <v>0</v>
      </c>
      <c r="H5" s="8">
        <v>0</v>
      </c>
      <c r="I5" s="8">
        <v>0</v>
      </c>
      <c r="J5" s="8" t="str">
        <f>IF(I5=0,"-",I5-0)</f>
        <v>-</v>
      </c>
      <c r="K5" s="9" t="str">
        <f t="shared" si="1"/>
        <v>-</v>
      </c>
      <c r="L5" s="8" t="str">
        <f t="shared" si="2"/>
        <v>-</v>
      </c>
    </row>
    <row r="6" ht="15" customHeight="1" spans="1:12">
      <c r="A6" s="2" t="s">
        <v>14</v>
      </c>
      <c r="B6" s="3">
        <v>1</v>
      </c>
      <c r="C6" s="3">
        <v>2</v>
      </c>
      <c r="D6" s="4">
        <v>15.8</v>
      </c>
      <c r="E6" s="4">
        <v>0</v>
      </c>
      <c r="F6" s="5">
        <f t="shared" si="0"/>
        <v>0</v>
      </c>
      <c r="G6" s="4">
        <v>15.8</v>
      </c>
      <c r="H6" s="4">
        <v>0</v>
      </c>
      <c r="I6" s="4">
        <v>15.8</v>
      </c>
      <c r="J6" s="4">
        <v>8.4</v>
      </c>
      <c r="K6" s="5">
        <f t="shared" si="1"/>
        <v>0.531645569620253</v>
      </c>
      <c r="L6" s="4">
        <f t="shared" si="2"/>
        <v>15.8</v>
      </c>
    </row>
    <row r="7" ht="15" customHeight="1" spans="1:12">
      <c r="A7" s="6" t="s">
        <v>15</v>
      </c>
      <c r="B7" s="7">
        <v>1402</v>
      </c>
      <c r="C7" s="7">
        <v>2405</v>
      </c>
      <c r="D7" s="8">
        <v>25790.7</v>
      </c>
      <c r="E7" s="8">
        <v>3078.15</v>
      </c>
      <c r="F7" s="9">
        <f t="shared" si="0"/>
        <v>0.119351161465179</v>
      </c>
      <c r="G7" s="8">
        <v>21479.05</v>
      </c>
      <c r="H7" s="8">
        <v>314.75</v>
      </c>
      <c r="I7" s="8">
        <v>22712.55</v>
      </c>
      <c r="J7" s="8">
        <v>11014.11</v>
      </c>
      <c r="K7" s="9">
        <f t="shared" si="1"/>
        <v>0.484934980880614</v>
      </c>
      <c r="L7" s="8">
        <f t="shared" si="2"/>
        <v>18.3956490727532</v>
      </c>
    </row>
    <row r="8" ht="15" customHeight="1" spans="1:12">
      <c r="A8" s="2" t="s">
        <v>16</v>
      </c>
      <c r="B8" s="3">
        <v>1206</v>
      </c>
      <c r="C8" s="3">
        <v>2211</v>
      </c>
      <c r="D8" s="4">
        <v>21550.7</v>
      </c>
      <c r="E8" s="4">
        <v>2881.01</v>
      </c>
      <c r="F8" s="5">
        <f t="shared" si="0"/>
        <v>0.133685216721499</v>
      </c>
      <c r="G8" s="4">
        <v>15796.27</v>
      </c>
      <c r="H8" s="4">
        <v>2669.72</v>
      </c>
      <c r="I8" s="4">
        <v>18669.69</v>
      </c>
      <c r="J8" s="4">
        <v>8447.98</v>
      </c>
      <c r="K8" s="5">
        <f t="shared" si="1"/>
        <v>0.452497068778325</v>
      </c>
      <c r="L8" s="4">
        <f t="shared" si="2"/>
        <v>17.8695688225539</v>
      </c>
    </row>
    <row r="9" ht="15" customHeight="1" spans="1:12">
      <c r="A9" s="6" t="s">
        <v>17</v>
      </c>
      <c r="B9" s="7">
        <v>1028</v>
      </c>
      <c r="C9" s="7">
        <v>1805</v>
      </c>
      <c r="D9" s="8">
        <v>16174.4</v>
      </c>
      <c r="E9" s="8">
        <v>1844.47</v>
      </c>
      <c r="F9" s="9">
        <f t="shared" si="0"/>
        <v>0.114036378474627</v>
      </c>
      <c r="G9" s="8">
        <v>10437.29</v>
      </c>
      <c r="H9" s="8">
        <v>3772.34</v>
      </c>
      <c r="I9" s="8">
        <v>14329.93</v>
      </c>
      <c r="J9" s="8">
        <v>6480.04</v>
      </c>
      <c r="K9" s="9">
        <f t="shared" si="1"/>
        <v>0.452203185919261</v>
      </c>
      <c r="L9" s="8">
        <f t="shared" si="2"/>
        <v>15.7338521400778</v>
      </c>
    </row>
    <row r="10" ht="15" customHeight="1" spans="1:12">
      <c r="A10" s="2" t="s">
        <v>18</v>
      </c>
      <c r="B10" s="3">
        <v>685</v>
      </c>
      <c r="C10" s="3">
        <v>1253</v>
      </c>
      <c r="D10" s="4">
        <v>10753.1</v>
      </c>
      <c r="E10" s="4">
        <v>915.42</v>
      </c>
      <c r="F10" s="5">
        <f t="shared" si="0"/>
        <v>0.0851307994903795</v>
      </c>
      <c r="G10" s="4">
        <v>9023.18</v>
      </c>
      <c r="H10" s="4">
        <v>784.5</v>
      </c>
      <c r="I10" s="4">
        <v>9837.68</v>
      </c>
      <c r="J10" s="4">
        <v>4889.68</v>
      </c>
      <c r="K10" s="5">
        <f t="shared" si="1"/>
        <v>0.497035886509828</v>
      </c>
      <c r="L10" s="4">
        <f t="shared" si="2"/>
        <v>15.6979562043796</v>
      </c>
    </row>
    <row r="11" ht="15" customHeight="1" spans="1:12">
      <c r="A11" s="6" t="s">
        <v>19</v>
      </c>
      <c r="B11" s="8">
        <v>0</v>
      </c>
      <c r="C11" s="8">
        <v>0</v>
      </c>
      <c r="D11" s="8">
        <v>0</v>
      </c>
      <c r="E11" s="8">
        <v>0</v>
      </c>
      <c r="F11" s="9" t="str">
        <f t="shared" si="0"/>
        <v>-</v>
      </c>
      <c r="G11" s="8">
        <v>0</v>
      </c>
      <c r="H11" s="8">
        <v>0</v>
      </c>
      <c r="I11" s="8">
        <v>0</v>
      </c>
      <c r="J11" s="8" t="str">
        <f t="shared" ref="J11:J17" si="3">IF(I11=0,"-",I11-0)</f>
        <v>-</v>
      </c>
      <c r="K11" s="9" t="str">
        <f t="shared" si="1"/>
        <v>-</v>
      </c>
      <c r="L11" s="8" t="str">
        <f t="shared" si="2"/>
        <v>-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si="3"/>
        <v>-</v>
      </c>
      <c r="K12" s="5" t="str">
        <f t="shared" si="1"/>
        <v>-</v>
      </c>
      <c r="L12" s="4" t="str">
        <f t="shared" si="2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3"/>
        <v>-</v>
      </c>
      <c r="K13" s="9" t="str">
        <f t="shared" si="1"/>
        <v>-</v>
      </c>
      <c r="L13" s="8" t="str">
        <f t="shared" si="2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3"/>
        <v>-</v>
      </c>
      <c r="K14" s="5" t="str">
        <f t="shared" si="1"/>
        <v>-</v>
      </c>
      <c r="L14" s="4" t="str">
        <f t="shared" si="2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3"/>
        <v>-</v>
      </c>
      <c r="K15" s="9" t="str">
        <f t="shared" si="1"/>
        <v>-</v>
      </c>
      <c r="L15" s="8" t="str">
        <f t="shared" si="2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3"/>
        <v>-</v>
      </c>
      <c r="K16" s="5" t="str">
        <f t="shared" si="1"/>
        <v>-</v>
      </c>
      <c r="L16" s="4" t="str">
        <f t="shared" si="2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3"/>
        <v>-</v>
      </c>
      <c r="K17" s="9" t="str">
        <f t="shared" si="1"/>
        <v>-</v>
      </c>
      <c r="L17" s="8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4">
        <v>0</v>
      </c>
      <c r="C2" s="4">
        <v>0</v>
      </c>
      <c r="D2" s="4">
        <v>0</v>
      </c>
      <c r="E2" s="4">
        <v>0</v>
      </c>
      <c r="F2" s="5" t="str">
        <f t="shared" ref="F2:F19" si="0">IF(D2=0,"-",E2/D2)</f>
        <v>-</v>
      </c>
      <c r="G2" s="4">
        <v>0</v>
      </c>
      <c r="H2" s="4">
        <v>0</v>
      </c>
      <c r="I2" s="4">
        <v>0</v>
      </c>
      <c r="J2" s="4" t="str">
        <f t="shared" ref="J2:J8" si="1">IF(I2=0,"-",I2-0)</f>
        <v>-</v>
      </c>
      <c r="K2" s="5" t="str">
        <f t="shared" ref="K2:K19" si="2">IF(I2=0,"-",J2/I2)</f>
        <v>-</v>
      </c>
      <c r="L2" s="4" t="str">
        <f t="shared" ref="L2:L19" si="3">IF(B2=0,"-",D2/B2)</f>
        <v>-</v>
      </c>
    </row>
    <row r="3" ht="15" customHeight="1" spans="1:12">
      <c r="A3" s="6" t="s">
        <v>11</v>
      </c>
      <c r="B3" s="8">
        <v>0</v>
      </c>
      <c r="C3" s="8">
        <v>0</v>
      </c>
      <c r="D3" s="8">
        <v>0</v>
      </c>
      <c r="E3" s="8">
        <v>0</v>
      </c>
      <c r="F3" s="9" t="str">
        <f t="shared" si="0"/>
        <v>-</v>
      </c>
      <c r="G3" s="8">
        <v>0</v>
      </c>
      <c r="H3" s="8">
        <v>0</v>
      </c>
      <c r="I3" s="8">
        <v>0</v>
      </c>
      <c r="J3" s="8" t="str">
        <f t="shared" si="1"/>
        <v>-</v>
      </c>
      <c r="K3" s="9" t="str">
        <f t="shared" si="2"/>
        <v>-</v>
      </c>
      <c r="L3" s="8" t="str">
        <f t="shared" si="3"/>
        <v>-</v>
      </c>
    </row>
    <row r="4" ht="15" customHeight="1" spans="1:12">
      <c r="A4" s="2" t="s">
        <v>12</v>
      </c>
      <c r="B4" s="4">
        <v>0</v>
      </c>
      <c r="C4" s="4">
        <v>0</v>
      </c>
      <c r="D4" s="4">
        <v>0</v>
      </c>
      <c r="E4" s="4">
        <v>0</v>
      </c>
      <c r="F4" s="5" t="str">
        <f t="shared" si="0"/>
        <v>-</v>
      </c>
      <c r="G4" s="4">
        <v>0</v>
      </c>
      <c r="H4" s="4">
        <v>0</v>
      </c>
      <c r="I4" s="4">
        <v>0</v>
      </c>
      <c r="J4" s="4" t="str">
        <f t="shared" si="1"/>
        <v>-</v>
      </c>
      <c r="K4" s="5" t="str">
        <f t="shared" si="2"/>
        <v>-</v>
      </c>
      <c r="L4" s="4" t="str">
        <f t="shared" si="3"/>
        <v>-</v>
      </c>
    </row>
    <row r="5" ht="15" customHeight="1" spans="1:12">
      <c r="A5" s="6" t="s">
        <v>13</v>
      </c>
      <c r="B5" s="8">
        <v>0</v>
      </c>
      <c r="C5" s="8">
        <v>0</v>
      </c>
      <c r="D5" s="8">
        <v>0</v>
      </c>
      <c r="E5" s="8">
        <v>0</v>
      </c>
      <c r="F5" s="9" t="str">
        <f t="shared" si="0"/>
        <v>-</v>
      </c>
      <c r="G5" s="8">
        <v>0</v>
      </c>
      <c r="H5" s="8">
        <v>0</v>
      </c>
      <c r="I5" s="8">
        <v>0</v>
      </c>
      <c r="J5" s="8" t="str">
        <f t="shared" si="1"/>
        <v>-</v>
      </c>
      <c r="K5" s="9" t="str">
        <f t="shared" si="2"/>
        <v>-</v>
      </c>
      <c r="L5" s="8" t="str">
        <f t="shared" si="3"/>
        <v>-</v>
      </c>
    </row>
    <row r="6" ht="15" customHeight="1" spans="1:12">
      <c r="A6" s="2" t="s">
        <v>14</v>
      </c>
      <c r="B6" s="4">
        <v>0</v>
      </c>
      <c r="C6" s="4">
        <v>0</v>
      </c>
      <c r="D6" s="4">
        <v>0</v>
      </c>
      <c r="E6" s="4">
        <v>0</v>
      </c>
      <c r="F6" s="5" t="str">
        <f t="shared" si="0"/>
        <v>-</v>
      </c>
      <c r="G6" s="4">
        <v>0</v>
      </c>
      <c r="H6" s="4">
        <v>0</v>
      </c>
      <c r="I6" s="4">
        <v>0</v>
      </c>
      <c r="J6" s="4" t="str">
        <f t="shared" si="1"/>
        <v>-</v>
      </c>
      <c r="K6" s="5" t="str">
        <f t="shared" si="2"/>
        <v>-</v>
      </c>
      <c r="L6" s="4" t="str">
        <f t="shared" si="3"/>
        <v>-</v>
      </c>
    </row>
    <row r="7" ht="15" customHeight="1" spans="1:12">
      <c r="A7" s="6" t="s">
        <v>15</v>
      </c>
      <c r="B7" s="8">
        <v>0</v>
      </c>
      <c r="C7" s="8">
        <v>0</v>
      </c>
      <c r="D7" s="8">
        <v>0</v>
      </c>
      <c r="E7" s="8">
        <v>0</v>
      </c>
      <c r="F7" s="9" t="str">
        <f t="shared" si="0"/>
        <v>-</v>
      </c>
      <c r="G7" s="8">
        <v>0</v>
      </c>
      <c r="H7" s="8">
        <v>0</v>
      </c>
      <c r="I7" s="8">
        <v>0</v>
      </c>
      <c r="J7" s="8" t="str">
        <f t="shared" si="1"/>
        <v>-</v>
      </c>
      <c r="K7" s="9" t="str">
        <f t="shared" si="2"/>
        <v>-</v>
      </c>
      <c r="L7" s="8" t="str">
        <f t="shared" si="3"/>
        <v>-</v>
      </c>
    </row>
    <row r="8" ht="15" customHeight="1" spans="1:12">
      <c r="A8" s="2" t="s">
        <v>16</v>
      </c>
      <c r="B8" s="4">
        <v>0</v>
      </c>
      <c r="C8" s="4">
        <v>0</v>
      </c>
      <c r="D8" s="4">
        <v>0</v>
      </c>
      <c r="E8" s="4">
        <v>0</v>
      </c>
      <c r="F8" s="5" t="str">
        <f t="shared" si="0"/>
        <v>-</v>
      </c>
      <c r="G8" s="4">
        <v>0</v>
      </c>
      <c r="H8" s="4">
        <v>0</v>
      </c>
      <c r="I8" s="4">
        <v>0</v>
      </c>
      <c r="J8" s="4" t="str">
        <f t="shared" si="1"/>
        <v>-</v>
      </c>
      <c r="K8" s="5" t="str">
        <f t="shared" si="2"/>
        <v>-</v>
      </c>
      <c r="L8" s="4" t="str">
        <f t="shared" si="3"/>
        <v>-</v>
      </c>
    </row>
    <row r="9" ht="15" customHeight="1" spans="1:12">
      <c r="A9" s="6" t="s">
        <v>17</v>
      </c>
      <c r="B9" s="7">
        <v>543</v>
      </c>
      <c r="C9" s="7">
        <v>930</v>
      </c>
      <c r="D9" s="8">
        <v>9014.7</v>
      </c>
      <c r="E9" s="8">
        <v>716.89</v>
      </c>
      <c r="F9" s="9">
        <f t="shared" si="0"/>
        <v>0.079524554339024</v>
      </c>
      <c r="G9" s="8">
        <v>8282.81</v>
      </c>
      <c r="H9" s="8">
        <v>0</v>
      </c>
      <c r="I9" s="8">
        <v>8297.81</v>
      </c>
      <c r="J9" s="8">
        <v>3938.92</v>
      </c>
      <c r="K9" s="9">
        <f t="shared" si="2"/>
        <v>0.474693925264618</v>
      </c>
      <c r="L9" s="8">
        <f t="shared" si="3"/>
        <v>16.6016574585635</v>
      </c>
    </row>
    <row r="10" ht="15" customHeight="1" spans="1:12">
      <c r="A10" s="2" t="s">
        <v>18</v>
      </c>
      <c r="B10" s="3">
        <v>531</v>
      </c>
      <c r="C10" s="3">
        <v>865</v>
      </c>
      <c r="D10" s="4">
        <v>7426.9</v>
      </c>
      <c r="E10" s="4">
        <v>507.37</v>
      </c>
      <c r="F10" s="5">
        <f t="shared" si="0"/>
        <v>0.0683151786074944</v>
      </c>
      <c r="G10" s="4">
        <v>6919.53</v>
      </c>
      <c r="H10" s="4">
        <v>0</v>
      </c>
      <c r="I10" s="4">
        <v>6919.53</v>
      </c>
      <c r="J10" s="4">
        <v>3366.67</v>
      </c>
      <c r="K10" s="5">
        <f t="shared" si="2"/>
        <v>0.486546051538183</v>
      </c>
      <c r="L10" s="4">
        <f t="shared" si="3"/>
        <v>13.9866290018832</v>
      </c>
    </row>
    <row r="11" ht="15" customHeight="1" spans="1:12">
      <c r="A11" s="6" t="s">
        <v>19</v>
      </c>
      <c r="B11" s="8">
        <v>0</v>
      </c>
      <c r="C11" s="8">
        <v>0</v>
      </c>
      <c r="D11" s="8">
        <v>0</v>
      </c>
      <c r="E11" s="8">
        <v>0</v>
      </c>
      <c r="F11" s="9" t="str">
        <f t="shared" si="0"/>
        <v>-</v>
      </c>
      <c r="G11" s="8">
        <v>0</v>
      </c>
      <c r="H11" s="8">
        <v>0</v>
      </c>
      <c r="I11" s="8">
        <v>0</v>
      </c>
      <c r="J11" s="8" t="str">
        <f t="shared" ref="J11:J17" si="4">IF(I11=0,"-",I11-0)</f>
        <v>-</v>
      </c>
      <c r="K11" s="9" t="str">
        <f t="shared" si="2"/>
        <v>-</v>
      </c>
      <c r="L11" s="8" t="str">
        <f t="shared" si="3"/>
        <v>-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si="4"/>
        <v>-</v>
      </c>
      <c r="K12" s="5" t="str">
        <f t="shared" si="2"/>
        <v>-</v>
      </c>
      <c r="L12" s="4" t="str">
        <f t="shared" si="3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4"/>
        <v>-</v>
      </c>
      <c r="K13" s="9" t="str">
        <f t="shared" si="2"/>
        <v>-</v>
      </c>
      <c r="L13" s="8" t="str">
        <f t="shared" si="3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4"/>
        <v>-</v>
      </c>
      <c r="K14" s="5" t="str">
        <f t="shared" si="2"/>
        <v>-</v>
      </c>
      <c r="L14" s="4" t="str">
        <f t="shared" si="3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4"/>
        <v>-</v>
      </c>
      <c r="K15" s="9" t="str">
        <f t="shared" si="2"/>
        <v>-</v>
      </c>
      <c r="L15" s="8" t="str">
        <f t="shared" si="3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4"/>
        <v>-</v>
      </c>
      <c r="K16" s="5" t="str">
        <f t="shared" si="2"/>
        <v>-</v>
      </c>
      <c r="L16" s="4" t="str">
        <f t="shared" si="3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4"/>
        <v>-</v>
      </c>
      <c r="K17" s="9" t="str">
        <f t="shared" si="2"/>
        <v>-</v>
      </c>
      <c r="L17" s="8" t="str">
        <f t="shared" si="3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2"/>
        <v>-</v>
      </c>
      <c r="L18" s="12" t="str">
        <f t="shared" si="3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2"/>
        <v>-</v>
      </c>
      <c r="L19" s="16" t="str">
        <f t="shared" si="3"/>
        <v>-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C41" sqref="C4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3">
        <v>290</v>
      </c>
      <c r="C2" s="3">
        <v>478</v>
      </c>
      <c r="D2" s="4">
        <v>6124.9</v>
      </c>
      <c r="E2" s="4">
        <v>1176.48</v>
      </c>
      <c r="F2" s="5">
        <f t="shared" ref="F2:F19" si="0">IF(D2=0,"-",E2/D2)</f>
        <v>0.192081503371484</v>
      </c>
      <c r="G2" s="4">
        <v>4948.42</v>
      </c>
      <c r="H2" s="4">
        <v>0</v>
      </c>
      <c r="I2" s="4">
        <v>4948.42</v>
      </c>
      <c r="J2" s="4">
        <v>2532.18</v>
      </c>
      <c r="K2" s="5">
        <f t="shared" ref="K2:K19" si="1">IF(I2=0,"-",J2/I2)</f>
        <v>0.511714850396692</v>
      </c>
      <c r="L2" s="4">
        <f t="shared" ref="L2:L19" si="2">IF(B2=0,"-",D2/B2)</f>
        <v>21.1203448275862</v>
      </c>
    </row>
    <row r="3" ht="15" customHeight="1" spans="1:12">
      <c r="A3" s="6" t="s">
        <v>11</v>
      </c>
      <c r="B3" s="7">
        <v>436</v>
      </c>
      <c r="C3" s="7">
        <v>778</v>
      </c>
      <c r="D3" s="8">
        <v>7608.4</v>
      </c>
      <c r="E3" s="8">
        <v>1178.28</v>
      </c>
      <c r="F3" s="9">
        <f t="shared" si="0"/>
        <v>0.154865674780506</v>
      </c>
      <c r="G3" s="8">
        <v>5093.36</v>
      </c>
      <c r="H3" s="8">
        <v>1336.76</v>
      </c>
      <c r="I3" s="8">
        <v>6430.12</v>
      </c>
      <c r="J3" s="8">
        <v>3202.62</v>
      </c>
      <c r="K3" s="9">
        <f t="shared" si="1"/>
        <v>0.498065354923392</v>
      </c>
      <c r="L3" s="8">
        <f t="shared" si="2"/>
        <v>17.4504587155963</v>
      </c>
    </row>
    <row r="4" ht="15" customHeight="1" spans="1:12">
      <c r="A4" s="2" t="s">
        <v>12</v>
      </c>
      <c r="B4" s="3">
        <v>589</v>
      </c>
      <c r="C4" s="3">
        <v>982</v>
      </c>
      <c r="D4" s="4">
        <v>11667.6</v>
      </c>
      <c r="E4" s="4">
        <v>2979.09</v>
      </c>
      <c r="F4" s="5">
        <f t="shared" si="0"/>
        <v>0.25533014501697</v>
      </c>
      <c r="G4" s="4">
        <v>7871.74</v>
      </c>
      <c r="H4" s="4">
        <v>139.3</v>
      </c>
      <c r="I4" s="4">
        <v>8688.51</v>
      </c>
      <c r="J4" s="4">
        <v>4236.49</v>
      </c>
      <c r="K4" s="5">
        <f t="shared" si="1"/>
        <v>0.487596837662614</v>
      </c>
      <c r="L4" s="4">
        <f t="shared" si="2"/>
        <v>19.8091680814941</v>
      </c>
    </row>
    <row r="5" ht="15" customHeight="1" spans="1:12">
      <c r="A5" s="6" t="s">
        <v>13</v>
      </c>
      <c r="B5" s="7">
        <v>660</v>
      </c>
      <c r="C5" s="7">
        <v>1124</v>
      </c>
      <c r="D5" s="8">
        <v>12684.6</v>
      </c>
      <c r="E5" s="8">
        <v>3004.84</v>
      </c>
      <c r="F5" s="9">
        <f t="shared" si="0"/>
        <v>0.236888825820286</v>
      </c>
      <c r="G5" s="8">
        <v>8581.86</v>
      </c>
      <c r="H5" s="8">
        <v>0</v>
      </c>
      <c r="I5" s="8">
        <v>9679.76</v>
      </c>
      <c r="J5" s="8">
        <v>4338.29</v>
      </c>
      <c r="K5" s="9">
        <f t="shared" si="1"/>
        <v>0.448181566485119</v>
      </c>
      <c r="L5" s="8">
        <f t="shared" si="2"/>
        <v>19.2190909090909</v>
      </c>
    </row>
    <row r="6" ht="15" customHeight="1" spans="1:12">
      <c r="A6" s="2" t="s">
        <v>14</v>
      </c>
      <c r="B6" s="3">
        <v>182</v>
      </c>
      <c r="C6" s="3">
        <v>280</v>
      </c>
      <c r="D6" s="4">
        <v>3708.1</v>
      </c>
      <c r="E6" s="4">
        <v>1207.33</v>
      </c>
      <c r="F6" s="5">
        <f t="shared" si="0"/>
        <v>0.32559262155821</v>
      </c>
      <c r="G6" s="4">
        <v>2278.93</v>
      </c>
      <c r="H6" s="4">
        <v>0</v>
      </c>
      <c r="I6" s="4">
        <v>2500.77</v>
      </c>
      <c r="J6" s="4">
        <v>1095.73</v>
      </c>
      <c r="K6" s="5">
        <f t="shared" si="1"/>
        <v>0.43815704762933</v>
      </c>
      <c r="L6" s="4">
        <f t="shared" si="2"/>
        <v>20.3741758241758</v>
      </c>
    </row>
    <row r="7" ht="15" customHeight="1" spans="1:12">
      <c r="A7" s="6" t="s">
        <v>15</v>
      </c>
      <c r="B7" s="7">
        <v>158</v>
      </c>
      <c r="C7" s="7">
        <v>216</v>
      </c>
      <c r="D7" s="8">
        <v>2821.5</v>
      </c>
      <c r="E7" s="8">
        <v>656.55</v>
      </c>
      <c r="F7" s="9">
        <f t="shared" si="0"/>
        <v>0.232695374800638</v>
      </c>
      <c r="G7" s="8">
        <v>1796.2</v>
      </c>
      <c r="H7" s="8">
        <v>0</v>
      </c>
      <c r="I7" s="8">
        <v>2164.95</v>
      </c>
      <c r="J7" s="8">
        <v>1134.67</v>
      </c>
      <c r="K7" s="9">
        <f t="shared" si="1"/>
        <v>0.524109101826832</v>
      </c>
      <c r="L7" s="8">
        <f t="shared" si="2"/>
        <v>17.8575949367089</v>
      </c>
    </row>
    <row r="8" ht="15" customHeight="1" spans="1:12">
      <c r="A8" s="2" t="s">
        <v>16</v>
      </c>
      <c r="B8" s="4">
        <v>0</v>
      </c>
      <c r="C8" s="4">
        <v>0</v>
      </c>
      <c r="D8" s="4">
        <v>0</v>
      </c>
      <c r="E8" s="4">
        <v>0</v>
      </c>
      <c r="F8" s="5" t="str">
        <f t="shared" si="0"/>
        <v>-</v>
      </c>
      <c r="G8" s="4">
        <v>0</v>
      </c>
      <c r="H8" s="4">
        <v>0</v>
      </c>
      <c r="I8" s="4">
        <v>0</v>
      </c>
      <c r="J8" s="4" t="str">
        <f>IF(I8=0,"-",I8-0)</f>
        <v>-</v>
      </c>
      <c r="K8" s="5" t="str">
        <f t="shared" si="1"/>
        <v>-</v>
      </c>
      <c r="L8" s="4" t="str">
        <f t="shared" si="2"/>
        <v>-</v>
      </c>
    </row>
    <row r="9" ht="15" customHeight="1" spans="1:12">
      <c r="A9" s="6" t="s">
        <v>17</v>
      </c>
      <c r="B9" s="8">
        <v>0</v>
      </c>
      <c r="C9" s="8">
        <v>0</v>
      </c>
      <c r="D9" s="8">
        <v>0</v>
      </c>
      <c r="E9" s="8">
        <v>0</v>
      </c>
      <c r="F9" s="9" t="str">
        <f t="shared" si="0"/>
        <v>-</v>
      </c>
      <c r="G9" s="8">
        <v>0</v>
      </c>
      <c r="H9" s="8">
        <v>0</v>
      </c>
      <c r="I9" s="8">
        <v>0</v>
      </c>
      <c r="J9" s="8" t="str">
        <f>IF(I9=0,"-",I9-0)</f>
        <v>-</v>
      </c>
      <c r="K9" s="9" t="str">
        <f t="shared" si="1"/>
        <v>-</v>
      </c>
      <c r="L9" s="8" t="str">
        <f t="shared" si="2"/>
        <v>-</v>
      </c>
    </row>
    <row r="10" ht="15" customHeight="1" spans="1:12">
      <c r="A10" s="2" t="s">
        <v>18</v>
      </c>
      <c r="B10" s="4">
        <v>0</v>
      </c>
      <c r="C10" s="4">
        <v>0</v>
      </c>
      <c r="D10" s="4">
        <v>0</v>
      </c>
      <c r="E10" s="4">
        <v>0</v>
      </c>
      <c r="F10" s="5" t="str">
        <f t="shared" si="0"/>
        <v>-</v>
      </c>
      <c r="G10" s="4">
        <v>0</v>
      </c>
      <c r="H10" s="4">
        <v>0</v>
      </c>
      <c r="I10" s="4">
        <v>0</v>
      </c>
      <c r="J10" s="4" t="str">
        <f>IF(I10=0,"-",I10-0)</f>
        <v>-</v>
      </c>
      <c r="K10" s="5" t="str">
        <f t="shared" si="1"/>
        <v>-</v>
      </c>
      <c r="L10" s="4" t="str">
        <f t="shared" si="2"/>
        <v>-</v>
      </c>
    </row>
    <row r="11" ht="15" customHeight="1" spans="1:12">
      <c r="A11" s="6" t="s">
        <v>19</v>
      </c>
      <c r="B11" s="7">
        <v>165</v>
      </c>
      <c r="C11" s="7">
        <v>293</v>
      </c>
      <c r="D11" s="8">
        <v>2423.5</v>
      </c>
      <c r="E11" s="8">
        <v>187.11</v>
      </c>
      <c r="F11" s="9">
        <f t="shared" si="0"/>
        <v>0.0772065194965958</v>
      </c>
      <c r="G11" s="8">
        <v>172.19</v>
      </c>
      <c r="H11" s="8">
        <v>2064.2</v>
      </c>
      <c r="I11" s="8">
        <v>2236.39</v>
      </c>
      <c r="J11" s="8">
        <v>1161.78</v>
      </c>
      <c r="K11" s="9">
        <f t="shared" si="1"/>
        <v>0.519488997893927</v>
      </c>
      <c r="L11" s="8">
        <f t="shared" si="2"/>
        <v>14.6878787878788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ref="J12:J17" si="3">IF(I12=0,"-",I12-0)</f>
        <v>-</v>
      </c>
      <c r="K12" s="5" t="str">
        <f t="shared" si="1"/>
        <v>-</v>
      </c>
      <c r="L12" s="4" t="str">
        <f t="shared" si="2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3"/>
        <v>-</v>
      </c>
      <c r="K13" s="9" t="str">
        <f t="shared" si="1"/>
        <v>-</v>
      </c>
      <c r="L13" s="8" t="str">
        <f t="shared" si="2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3"/>
        <v>-</v>
      </c>
      <c r="K14" s="5" t="str">
        <f t="shared" si="1"/>
        <v>-</v>
      </c>
      <c r="L14" s="4" t="str">
        <f t="shared" si="2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3"/>
        <v>-</v>
      </c>
      <c r="K15" s="9" t="str">
        <f t="shared" si="1"/>
        <v>-</v>
      </c>
      <c r="L15" s="8" t="str">
        <f t="shared" si="2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3"/>
        <v>-</v>
      </c>
      <c r="K16" s="5" t="str">
        <f t="shared" si="1"/>
        <v>-</v>
      </c>
      <c r="L16" s="4" t="str">
        <f t="shared" si="2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3"/>
        <v>-</v>
      </c>
      <c r="K17" s="9" t="str">
        <f t="shared" si="1"/>
        <v>-</v>
      </c>
      <c r="L17" s="8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3">
        <v>489</v>
      </c>
      <c r="C2" s="3">
        <v>767</v>
      </c>
      <c r="D2" s="4">
        <v>10244.7</v>
      </c>
      <c r="E2" s="4">
        <v>1296.25</v>
      </c>
      <c r="F2" s="5">
        <f t="shared" ref="F2:F19" si="0">IF(D2=0,"-",E2/D2)</f>
        <v>0.126528839302273</v>
      </c>
      <c r="G2" s="4">
        <v>8948.45</v>
      </c>
      <c r="H2" s="4">
        <v>0</v>
      </c>
      <c r="I2" s="4">
        <v>8948.45</v>
      </c>
      <c r="J2" s="4">
        <v>4916.54</v>
      </c>
      <c r="K2" s="5">
        <f t="shared" ref="K2:K19" si="1">IF(I2=0,"-",J2/I2)</f>
        <v>0.549429230760634</v>
      </c>
      <c r="L2" s="4">
        <f t="shared" ref="L2:L19" si="2">IF(B2=0,"-",D2/B2)</f>
        <v>20.9503067484663</v>
      </c>
    </row>
    <row r="3" ht="15" customHeight="1" spans="1:12">
      <c r="A3" s="6" t="s">
        <v>11</v>
      </c>
      <c r="B3" s="7">
        <v>482</v>
      </c>
      <c r="C3" s="7">
        <v>852</v>
      </c>
      <c r="D3" s="8">
        <v>10061.2</v>
      </c>
      <c r="E3" s="8">
        <v>1672.96</v>
      </c>
      <c r="F3" s="9">
        <f t="shared" si="0"/>
        <v>0.166278376336819</v>
      </c>
      <c r="G3" s="8">
        <v>8264.1</v>
      </c>
      <c r="H3" s="8">
        <v>0</v>
      </c>
      <c r="I3" s="8">
        <v>8388.24</v>
      </c>
      <c r="J3" s="8">
        <v>4368.92</v>
      </c>
      <c r="K3" s="9">
        <f t="shared" si="1"/>
        <v>0.520838697986705</v>
      </c>
      <c r="L3" s="8">
        <f t="shared" si="2"/>
        <v>20.8738589211618</v>
      </c>
    </row>
    <row r="4" ht="15" customHeight="1" spans="1:12">
      <c r="A4" s="2" t="s">
        <v>12</v>
      </c>
      <c r="B4" s="3">
        <v>387</v>
      </c>
      <c r="C4" s="3">
        <v>649</v>
      </c>
      <c r="D4" s="4">
        <v>8068</v>
      </c>
      <c r="E4" s="4">
        <v>1888.12</v>
      </c>
      <c r="F4" s="5">
        <f t="shared" si="0"/>
        <v>0.234025780862667</v>
      </c>
      <c r="G4" s="4">
        <v>5937.72</v>
      </c>
      <c r="H4" s="4">
        <v>0</v>
      </c>
      <c r="I4" s="4">
        <v>6179.88</v>
      </c>
      <c r="J4" s="4">
        <v>3295.64</v>
      </c>
      <c r="K4" s="5">
        <f t="shared" si="1"/>
        <v>0.533285435963158</v>
      </c>
      <c r="L4" s="4">
        <f t="shared" si="2"/>
        <v>20.8475452196382</v>
      </c>
    </row>
    <row r="5" ht="15" customHeight="1" spans="1:12">
      <c r="A5" s="6" t="s">
        <v>13</v>
      </c>
      <c r="B5" s="7">
        <v>91</v>
      </c>
      <c r="C5" s="7">
        <v>127</v>
      </c>
      <c r="D5" s="8">
        <v>1899.5</v>
      </c>
      <c r="E5" s="8">
        <v>354.51</v>
      </c>
      <c r="F5" s="9">
        <f t="shared" si="0"/>
        <v>0.186633324559094</v>
      </c>
      <c r="G5" s="8">
        <v>1396.54</v>
      </c>
      <c r="H5" s="8">
        <v>0</v>
      </c>
      <c r="I5" s="8">
        <v>1544.99</v>
      </c>
      <c r="J5" s="8">
        <v>921.56</v>
      </c>
      <c r="K5" s="9">
        <f t="shared" si="1"/>
        <v>0.596482825131554</v>
      </c>
      <c r="L5" s="8">
        <f t="shared" si="2"/>
        <v>20.8736263736264</v>
      </c>
    </row>
    <row r="6" ht="15" customHeight="1" spans="1:12">
      <c r="A6" s="2" t="s">
        <v>14</v>
      </c>
      <c r="B6" s="4">
        <v>0</v>
      </c>
      <c r="C6" s="4">
        <v>0</v>
      </c>
      <c r="D6" s="4">
        <v>0</v>
      </c>
      <c r="E6" s="4">
        <v>0</v>
      </c>
      <c r="F6" s="5" t="str">
        <f t="shared" si="0"/>
        <v>-</v>
      </c>
      <c r="G6" s="4">
        <v>0</v>
      </c>
      <c r="H6" s="4">
        <v>0</v>
      </c>
      <c r="I6" s="4">
        <v>0</v>
      </c>
      <c r="J6" s="4" t="str">
        <f>IF(I6=0,"-",I6-0)</f>
        <v>-</v>
      </c>
      <c r="K6" s="5" t="str">
        <f t="shared" si="1"/>
        <v>-</v>
      </c>
      <c r="L6" s="4" t="str">
        <f t="shared" si="2"/>
        <v>-</v>
      </c>
    </row>
    <row r="7" ht="15" customHeight="1" spans="1:12">
      <c r="A7" s="6" t="s">
        <v>15</v>
      </c>
      <c r="B7" s="7">
        <v>6</v>
      </c>
      <c r="C7" s="7">
        <v>10</v>
      </c>
      <c r="D7" s="8">
        <v>138.5</v>
      </c>
      <c r="E7" s="8">
        <v>14.94</v>
      </c>
      <c r="F7" s="9">
        <f t="shared" si="0"/>
        <v>0.107870036101083</v>
      </c>
      <c r="G7" s="8">
        <v>123.56</v>
      </c>
      <c r="H7" s="8">
        <v>0</v>
      </c>
      <c r="I7" s="8">
        <v>123.56</v>
      </c>
      <c r="J7" s="8">
        <v>66.55</v>
      </c>
      <c r="K7" s="9">
        <f t="shared" si="1"/>
        <v>0.538604726448689</v>
      </c>
      <c r="L7" s="8">
        <f t="shared" si="2"/>
        <v>23.0833333333333</v>
      </c>
    </row>
    <row r="8" ht="15" customHeight="1" spans="1:12">
      <c r="A8" s="2" t="s">
        <v>16</v>
      </c>
      <c r="B8" s="3">
        <v>127</v>
      </c>
      <c r="C8" s="3">
        <v>170</v>
      </c>
      <c r="D8" s="4">
        <v>1924.9</v>
      </c>
      <c r="E8" s="4">
        <v>284.5</v>
      </c>
      <c r="F8" s="5">
        <f t="shared" si="0"/>
        <v>0.147799885708348</v>
      </c>
      <c r="G8" s="4">
        <v>1417</v>
      </c>
      <c r="H8" s="4">
        <v>0</v>
      </c>
      <c r="I8" s="4">
        <v>1640.4</v>
      </c>
      <c r="J8" s="4">
        <v>935.14</v>
      </c>
      <c r="K8" s="5">
        <f t="shared" si="1"/>
        <v>0.570068276030236</v>
      </c>
      <c r="L8" s="4">
        <f t="shared" si="2"/>
        <v>15.1566929133858</v>
      </c>
    </row>
    <row r="9" ht="15" customHeight="1" spans="1:12">
      <c r="A9" s="6" t="s">
        <v>17</v>
      </c>
      <c r="B9" s="8">
        <v>0</v>
      </c>
      <c r="C9" s="8">
        <v>0</v>
      </c>
      <c r="D9" s="8">
        <v>0</v>
      </c>
      <c r="E9" s="8">
        <v>0</v>
      </c>
      <c r="F9" s="9" t="str">
        <f t="shared" si="0"/>
        <v>-</v>
      </c>
      <c r="G9" s="8">
        <v>0</v>
      </c>
      <c r="H9" s="8">
        <v>0</v>
      </c>
      <c r="I9" s="8">
        <v>0</v>
      </c>
      <c r="J9" s="8" t="str">
        <f t="shared" ref="J9:J17" si="3">IF(I9=0,"-",I9-0)</f>
        <v>-</v>
      </c>
      <c r="K9" s="9" t="str">
        <f t="shared" si="1"/>
        <v>-</v>
      </c>
      <c r="L9" s="8" t="str">
        <f t="shared" si="2"/>
        <v>-</v>
      </c>
    </row>
    <row r="10" ht="15" customHeight="1" spans="1:12">
      <c r="A10" s="2" t="s">
        <v>18</v>
      </c>
      <c r="B10" s="4">
        <v>0</v>
      </c>
      <c r="C10" s="4">
        <v>0</v>
      </c>
      <c r="D10" s="4">
        <v>0</v>
      </c>
      <c r="E10" s="4">
        <v>0</v>
      </c>
      <c r="F10" s="5" t="str">
        <f t="shared" si="0"/>
        <v>-</v>
      </c>
      <c r="G10" s="4">
        <v>0</v>
      </c>
      <c r="H10" s="4">
        <v>0</v>
      </c>
      <c r="I10" s="4">
        <v>0</v>
      </c>
      <c r="J10" s="4" t="str">
        <f t="shared" si="3"/>
        <v>-</v>
      </c>
      <c r="K10" s="5" t="str">
        <f t="shared" si="1"/>
        <v>-</v>
      </c>
      <c r="L10" s="4" t="str">
        <f t="shared" si="2"/>
        <v>-</v>
      </c>
    </row>
    <row r="11" ht="15" customHeight="1" spans="1:12">
      <c r="A11" s="6" t="s">
        <v>19</v>
      </c>
      <c r="B11" s="8">
        <v>0</v>
      </c>
      <c r="C11" s="8">
        <v>0</v>
      </c>
      <c r="D11" s="8">
        <v>0</v>
      </c>
      <c r="E11" s="8">
        <v>0</v>
      </c>
      <c r="F11" s="9" t="str">
        <f t="shared" si="0"/>
        <v>-</v>
      </c>
      <c r="G11" s="8">
        <v>0</v>
      </c>
      <c r="H11" s="8">
        <v>0</v>
      </c>
      <c r="I11" s="8">
        <v>0</v>
      </c>
      <c r="J11" s="8" t="str">
        <f t="shared" si="3"/>
        <v>-</v>
      </c>
      <c r="K11" s="9" t="str">
        <f t="shared" si="1"/>
        <v>-</v>
      </c>
      <c r="L11" s="8" t="str">
        <f t="shared" si="2"/>
        <v>-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si="3"/>
        <v>-</v>
      </c>
      <c r="K12" s="5" t="str">
        <f t="shared" si="1"/>
        <v>-</v>
      </c>
      <c r="L12" s="4" t="str">
        <f t="shared" si="2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3"/>
        <v>-</v>
      </c>
      <c r="K13" s="9" t="str">
        <f t="shared" si="1"/>
        <v>-</v>
      </c>
      <c r="L13" s="8" t="str">
        <f t="shared" si="2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3"/>
        <v>-</v>
      </c>
      <c r="K14" s="5" t="str">
        <f t="shared" si="1"/>
        <v>-</v>
      </c>
      <c r="L14" s="4" t="str">
        <f t="shared" si="2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3"/>
        <v>-</v>
      </c>
      <c r="K15" s="9" t="str">
        <f t="shared" si="1"/>
        <v>-</v>
      </c>
      <c r="L15" s="8" t="str">
        <f t="shared" si="2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3"/>
        <v>-</v>
      </c>
      <c r="K16" s="5" t="str">
        <f t="shared" si="1"/>
        <v>-</v>
      </c>
      <c r="L16" s="4" t="str">
        <f t="shared" si="2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3"/>
        <v>-</v>
      </c>
      <c r="K17" s="9" t="str">
        <f t="shared" si="1"/>
        <v>-</v>
      </c>
      <c r="L17" s="8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3">
        <v>146</v>
      </c>
      <c r="C2" s="3">
        <v>231</v>
      </c>
      <c r="D2" s="4">
        <v>2513.1</v>
      </c>
      <c r="E2" s="4">
        <v>520.82</v>
      </c>
      <c r="F2" s="5">
        <f t="shared" ref="F2:F19" si="0">IF(D2=0,"-",E2/D2)</f>
        <v>0.207242051649357</v>
      </c>
      <c r="G2" s="4">
        <v>1645.72</v>
      </c>
      <c r="H2" s="4">
        <v>346.56</v>
      </c>
      <c r="I2" s="4">
        <v>1992.28</v>
      </c>
      <c r="J2" s="4">
        <v>922.23</v>
      </c>
      <c r="K2" s="5">
        <f t="shared" ref="K2:K19" si="1">IF(I2=0,"-",J2/I2)</f>
        <v>0.462901800951673</v>
      </c>
      <c r="L2" s="4">
        <f t="shared" ref="L2:L19" si="2">IF(B2=0,"-",D2/B2)</f>
        <v>17.2130136986301</v>
      </c>
    </row>
    <row r="3" ht="15" customHeight="1" spans="1:12">
      <c r="A3" s="6" t="s">
        <v>11</v>
      </c>
      <c r="B3" s="7">
        <v>4</v>
      </c>
      <c r="C3" s="7">
        <v>6</v>
      </c>
      <c r="D3" s="8">
        <v>98</v>
      </c>
      <c r="E3" s="8">
        <v>53.2</v>
      </c>
      <c r="F3" s="9">
        <f t="shared" si="0"/>
        <v>0.542857142857143</v>
      </c>
      <c r="G3" s="8">
        <v>44.8</v>
      </c>
      <c r="H3" s="8">
        <v>0</v>
      </c>
      <c r="I3" s="8">
        <v>44.8</v>
      </c>
      <c r="J3" s="8">
        <v>10.64</v>
      </c>
      <c r="K3" s="9">
        <f t="shared" si="1"/>
        <v>0.2375</v>
      </c>
      <c r="L3" s="8">
        <f t="shared" si="2"/>
        <v>24.5</v>
      </c>
    </row>
    <row r="4" ht="15" customHeight="1" spans="1:12">
      <c r="A4" s="2" t="s">
        <v>12</v>
      </c>
      <c r="B4" s="4">
        <v>0</v>
      </c>
      <c r="C4" s="4">
        <v>0</v>
      </c>
      <c r="D4" s="4">
        <v>0</v>
      </c>
      <c r="E4" s="4">
        <v>0</v>
      </c>
      <c r="F4" s="5" t="str">
        <f t="shared" si="0"/>
        <v>-</v>
      </c>
      <c r="G4" s="4">
        <v>0</v>
      </c>
      <c r="H4" s="4">
        <v>0</v>
      </c>
      <c r="I4" s="4">
        <v>0</v>
      </c>
      <c r="J4" s="4" t="str">
        <f t="shared" ref="J4:J10" si="3">IF(I4=0,"-",I4-0)</f>
        <v>-</v>
      </c>
      <c r="K4" s="5" t="str">
        <f t="shared" si="1"/>
        <v>-</v>
      </c>
      <c r="L4" s="4" t="str">
        <f t="shared" si="2"/>
        <v>-</v>
      </c>
    </row>
    <row r="5" ht="15" customHeight="1" spans="1:12">
      <c r="A5" s="6" t="s">
        <v>13</v>
      </c>
      <c r="B5" s="8">
        <v>0</v>
      </c>
      <c r="C5" s="8">
        <v>0</v>
      </c>
      <c r="D5" s="8">
        <v>0</v>
      </c>
      <c r="E5" s="8">
        <v>0</v>
      </c>
      <c r="F5" s="9" t="str">
        <f t="shared" si="0"/>
        <v>-</v>
      </c>
      <c r="G5" s="8">
        <v>0</v>
      </c>
      <c r="H5" s="8">
        <v>0</v>
      </c>
      <c r="I5" s="8">
        <v>0</v>
      </c>
      <c r="J5" s="8" t="str">
        <f t="shared" si="3"/>
        <v>-</v>
      </c>
      <c r="K5" s="9" t="str">
        <f t="shared" si="1"/>
        <v>-</v>
      </c>
      <c r="L5" s="8" t="str">
        <f t="shared" si="2"/>
        <v>-</v>
      </c>
    </row>
    <row r="6" ht="15" customHeight="1" spans="1:12">
      <c r="A6" s="2" t="s">
        <v>14</v>
      </c>
      <c r="B6" s="4">
        <v>0</v>
      </c>
      <c r="C6" s="4">
        <v>0</v>
      </c>
      <c r="D6" s="4">
        <v>0</v>
      </c>
      <c r="E6" s="4">
        <v>0</v>
      </c>
      <c r="F6" s="5" t="str">
        <f t="shared" si="0"/>
        <v>-</v>
      </c>
      <c r="G6" s="4">
        <v>0</v>
      </c>
      <c r="H6" s="4">
        <v>0</v>
      </c>
      <c r="I6" s="4">
        <v>0</v>
      </c>
      <c r="J6" s="4" t="str">
        <f t="shared" si="3"/>
        <v>-</v>
      </c>
      <c r="K6" s="5" t="str">
        <f t="shared" si="1"/>
        <v>-</v>
      </c>
      <c r="L6" s="4" t="str">
        <f t="shared" si="2"/>
        <v>-</v>
      </c>
    </row>
    <row r="7" ht="15" customHeight="1" spans="1:12">
      <c r="A7" s="6" t="s">
        <v>15</v>
      </c>
      <c r="B7" s="8">
        <v>0</v>
      </c>
      <c r="C7" s="8">
        <v>0</v>
      </c>
      <c r="D7" s="8">
        <v>0</v>
      </c>
      <c r="E7" s="8">
        <v>0</v>
      </c>
      <c r="F7" s="9" t="str">
        <f t="shared" si="0"/>
        <v>-</v>
      </c>
      <c r="G7" s="8">
        <v>0</v>
      </c>
      <c r="H7" s="8">
        <v>0</v>
      </c>
      <c r="I7" s="8">
        <v>0</v>
      </c>
      <c r="J7" s="8" t="str">
        <f t="shared" si="3"/>
        <v>-</v>
      </c>
      <c r="K7" s="9" t="str">
        <f t="shared" si="1"/>
        <v>-</v>
      </c>
      <c r="L7" s="8" t="str">
        <f t="shared" si="2"/>
        <v>-</v>
      </c>
    </row>
    <row r="8" ht="15" customHeight="1" spans="1:12">
      <c r="A8" s="2" t="s">
        <v>16</v>
      </c>
      <c r="B8" s="4">
        <v>0</v>
      </c>
      <c r="C8" s="4">
        <v>0</v>
      </c>
      <c r="D8" s="4">
        <v>0</v>
      </c>
      <c r="E8" s="4">
        <v>0</v>
      </c>
      <c r="F8" s="5" t="str">
        <f t="shared" si="0"/>
        <v>-</v>
      </c>
      <c r="G8" s="4">
        <v>0</v>
      </c>
      <c r="H8" s="4">
        <v>0</v>
      </c>
      <c r="I8" s="4">
        <v>0</v>
      </c>
      <c r="J8" s="4" t="str">
        <f t="shared" si="3"/>
        <v>-</v>
      </c>
      <c r="K8" s="5" t="str">
        <f t="shared" si="1"/>
        <v>-</v>
      </c>
      <c r="L8" s="4" t="str">
        <f t="shared" si="2"/>
        <v>-</v>
      </c>
    </row>
    <row r="9" ht="15" customHeight="1" spans="1:12">
      <c r="A9" s="6" t="s">
        <v>17</v>
      </c>
      <c r="B9" s="8">
        <v>0</v>
      </c>
      <c r="C9" s="8">
        <v>0</v>
      </c>
      <c r="D9" s="8">
        <v>0</v>
      </c>
      <c r="E9" s="8">
        <v>0</v>
      </c>
      <c r="F9" s="9" t="str">
        <f t="shared" si="0"/>
        <v>-</v>
      </c>
      <c r="G9" s="8">
        <v>0</v>
      </c>
      <c r="H9" s="8">
        <v>0</v>
      </c>
      <c r="I9" s="8">
        <v>0</v>
      </c>
      <c r="J9" s="8" t="str">
        <f t="shared" si="3"/>
        <v>-</v>
      </c>
      <c r="K9" s="9" t="str">
        <f t="shared" si="1"/>
        <v>-</v>
      </c>
      <c r="L9" s="8" t="str">
        <f t="shared" si="2"/>
        <v>-</v>
      </c>
    </row>
    <row r="10" ht="15" customHeight="1" spans="1:12">
      <c r="A10" s="2" t="s">
        <v>18</v>
      </c>
      <c r="B10" s="4">
        <v>0</v>
      </c>
      <c r="C10" s="4">
        <v>0</v>
      </c>
      <c r="D10" s="4">
        <v>0</v>
      </c>
      <c r="E10" s="4">
        <v>0</v>
      </c>
      <c r="F10" s="5" t="str">
        <f t="shared" si="0"/>
        <v>-</v>
      </c>
      <c r="G10" s="4">
        <v>0</v>
      </c>
      <c r="H10" s="4">
        <v>0</v>
      </c>
      <c r="I10" s="4">
        <v>0</v>
      </c>
      <c r="J10" s="4" t="str">
        <f t="shared" si="3"/>
        <v>-</v>
      </c>
      <c r="K10" s="5" t="str">
        <f t="shared" si="1"/>
        <v>-</v>
      </c>
      <c r="L10" s="4" t="str">
        <f t="shared" si="2"/>
        <v>-</v>
      </c>
    </row>
    <row r="11" ht="15" customHeight="1" spans="1:12">
      <c r="A11" s="6" t="s">
        <v>19</v>
      </c>
      <c r="B11" s="7">
        <v>1</v>
      </c>
      <c r="C11" s="7">
        <v>1</v>
      </c>
      <c r="D11" s="8">
        <v>2</v>
      </c>
      <c r="E11" s="8">
        <v>0.8</v>
      </c>
      <c r="F11" s="9">
        <f t="shared" si="0"/>
        <v>0.4</v>
      </c>
      <c r="G11" s="8">
        <v>1.2</v>
      </c>
      <c r="H11" s="8">
        <v>0</v>
      </c>
      <c r="I11" s="8">
        <v>1.2</v>
      </c>
      <c r="J11" s="8">
        <v>1.2</v>
      </c>
      <c r="K11" s="9">
        <f t="shared" si="1"/>
        <v>1</v>
      </c>
      <c r="L11" s="8">
        <f t="shared" si="2"/>
        <v>2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ref="J12:J17" si="4">IF(I12=0,"-",I12-0)</f>
        <v>-</v>
      </c>
      <c r="K12" s="5" t="str">
        <f t="shared" si="1"/>
        <v>-</v>
      </c>
      <c r="L12" s="4" t="str">
        <f t="shared" si="2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4"/>
        <v>-</v>
      </c>
      <c r="K13" s="9" t="str">
        <f t="shared" si="1"/>
        <v>-</v>
      </c>
      <c r="L13" s="8" t="str">
        <f t="shared" si="2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4"/>
        <v>-</v>
      </c>
      <c r="K14" s="5" t="str">
        <f t="shared" si="1"/>
        <v>-</v>
      </c>
      <c r="L14" s="4" t="str">
        <f t="shared" si="2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4"/>
        <v>-</v>
      </c>
      <c r="K15" s="9" t="str">
        <f t="shared" si="1"/>
        <v>-</v>
      </c>
      <c r="L15" s="8" t="str">
        <f t="shared" si="2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4"/>
        <v>-</v>
      </c>
      <c r="K16" s="5" t="str">
        <f t="shared" si="1"/>
        <v>-</v>
      </c>
      <c r="L16" s="4" t="str">
        <f t="shared" si="2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4"/>
        <v>-</v>
      </c>
      <c r="K17" s="9" t="str">
        <f t="shared" si="1"/>
        <v>-</v>
      </c>
      <c r="L17" s="8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3">
        <v>518</v>
      </c>
      <c r="C2" s="3">
        <v>1002</v>
      </c>
      <c r="D2" s="4">
        <v>13779.6</v>
      </c>
      <c r="E2" s="4">
        <v>3255.5</v>
      </c>
      <c r="F2" s="5">
        <f t="shared" ref="F2:F19" si="0">IF(D2=0,"-",E2/D2)</f>
        <v>0.23625504368777</v>
      </c>
      <c r="G2" s="4">
        <v>10446.1</v>
      </c>
      <c r="H2" s="4">
        <v>0</v>
      </c>
      <c r="I2" s="4">
        <v>10524.1</v>
      </c>
      <c r="J2" s="4">
        <v>4962.51</v>
      </c>
      <c r="K2" s="5">
        <f t="shared" ref="K2:K19" si="1">IF(I2=0,"-",J2/I2)</f>
        <v>0.471537708687679</v>
      </c>
      <c r="L2" s="4">
        <f t="shared" ref="L2:L19" si="2">IF(B2=0,"-",D2/B2)</f>
        <v>26.6015444015444</v>
      </c>
    </row>
    <row r="3" ht="15" customHeight="1" spans="1:12">
      <c r="A3" s="6" t="s">
        <v>11</v>
      </c>
      <c r="B3" s="7">
        <v>360</v>
      </c>
      <c r="C3" s="7">
        <v>621</v>
      </c>
      <c r="D3" s="8">
        <v>7765.4</v>
      </c>
      <c r="E3" s="8">
        <v>1649.54</v>
      </c>
      <c r="F3" s="9">
        <f t="shared" si="0"/>
        <v>0.212421768357071</v>
      </c>
      <c r="G3" s="8">
        <v>6115.86</v>
      </c>
      <c r="H3" s="8">
        <v>0</v>
      </c>
      <c r="I3" s="8">
        <v>6115.86</v>
      </c>
      <c r="J3" s="8">
        <v>2937.58</v>
      </c>
      <c r="K3" s="9">
        <f t="shared" si="1"/>
        <v>0.480321655498981</v>
      </c>
      <c r="L3" s="8">
        <f t="shared" si="2"/>
        <v>21.5705555555556</v>
      </c>
    </row>
    <row r="4" ht="15" customHeight="1" spans="1:12">
      <c r="A4" s="2" t="s">
        <v>12</v>
      </c>
      <c r="B4" s="4">
        <v>0</v>
      </c>
      <c r="C4" s="4">
        <v>0</v>
      </c>
      <c r="D4" s="4">
        <v>0</v>
      </c>
      <c r="E4" s="4">
        <v>0</v>
      </c>
      <c r="F4" s="5" t="str">
        <f t="shared" si="0"/>
        <v>-</v>
      </c>
      <c r="G4" s="4">
        <v>0</v>
      </c>
      <c r="H4" s="4">
        <v>0</v>
      </c>
      <c r="I4" s="4">
        <v>0</v>
      </c>
      <c r="J4" s="4" t="str">
        <f t="shared" ref="J4:J17" si="3">IF(I4=0,"-",I4-0)</f>
        <v>-</v>
      </c>
      <c r="K4" s="5" t="str">
        <f t="shared" si="1"/>
        <v>-</v>
      </c>
      <c r="L4" s="4" t="str">
        <f t="shared" si="2"/>
        <v>-</v>
      </c>
    </row>
    <row r="5" ht="15" customHeight="1" spans="1:12">
      <c r="A5" s="6" t="s">
        <v>13</v>
      </c>
      <c r="B5" s="8">
        <v>0</v>
      </c>
      <c r="C5" s="8">
        <v>0</v>
      </c>
      <c r="D5" s="8">
        <v>0</v>
      </c>
      <c r="E5" s="8">
        <v>0</v>
      </c>
      <c r="F5" s="9" t="str">
        <f t="shared" si="0"/>
        <v>-</v>
      </c>
      <c r="G5" s="8">
        <v>0</v>
      </c>
      <c r="H5" s="8">
        <v>0</v>
      </c>
      <c r="I5" s="8">
        <v>0</v>
      </c>
      <c r="J5" s="8" t="str">
        <f t="shared" si="3"/>
        <v>-</v>
      </c>
      <c r="K5" s="9" t="str">
        <f t="shared" si="1"/>
        <v>-</v>
      </c>
      <c r="L5" s="8" t="str">
        <f t="shared" si="2"/>
        <v>-</v>
      </c>
    </row>
    <row r="6" ht="15" customHeight="1" spans="1:12">
      <c r="A6" s="2" t="s">
        <v>14</v>
      </c>
      <c r="B6" s="4">
        <v>0</v>
      </c>
      <c r="C6" s="4">
        <v>0</v>
      </c>
      <c r="D6" s="4">
        <v>0</v>
      </c>
      <c r="E6" s="4">
        <v>0</v>
      </c>
      <c r="F6" s="5" t="str">
        <f t="shared" si="0"/>
        <v>-</v>
      </c>
      <c r="G6" s="4">
        <v>0</v>
      </c>
      <c r="H6" s="4">
        <v>0</v>
      </c>
      <c r="I6" s="4">
        <v>0</v>
      </c>
      <c r="J6" s="4" t="str">
        <f t="shared" si="3"/>
        <v>-</v>
      </c>
      <c r="K6" s="5" t="str">
        <f t="shared" si="1"/>
        <v>-</v>
      </c>
      <c r="L6" s="4" t="str">
        <f t="shared" si="2"/>
        <v>-</v>
      </c>
    </row>
    <row r="7" ht="15" customHeight="1" spans="1:12">
      <c r="A7" s="6" t="s">
        <v>15</v>
      </c>
      <c r="B7" s="8">
        <v>0</v>
      </c>
      <c r="C7" s="8">
        <v>0</v>
      </c>
      <c r="D7" s="8">
        <v>0</v>
      </c>
      <c r="E7" s="8">
        <v>0</v>
      </c>
      <c r="F7" s="9" t="str">
        <f t="shared" si="0"/>
        <v>-</v>
      </c>
      <c r="G7" s="8">
        <v>0</v>
      </c>
      <c r="H7" s="8">
        <v>0</v>
      </c>
      <c r="I7" s="8">
        <v>0</v>
      </c>
      <c r="J7" s="8" t="str">
        <f t="shared" si="3"/>
        <v>-</v>
      </c>
      <c r="K7" s="9" t="str">
        <f t="shared" si="1"/>
        <v>-</v>
      </c>
      <c r="L7" s="8" t="str">
        <f t="shared" si="2"/>
        <v>-</v>
      </c>
    </row>
    <row r="8" ht="15" customHeight="1" spans="1:12">
      <c r="A8" s="2" t="s">
        <v>16</v>
      </c>
      <c r="B8" s="4">
        <v>0</v>
      </c>
      <c r="C8" s="4">
        <v>0</v>
      </c>
      <c r="D8" s="4">
        <v>0</v>
      </c>
      <c r="E8" s="4">
        <v>0</v>
      </c>
      <c r="F8" s="5" t="str">
        <f t="shared" si="0"/>
        <v>-</v>
      </c>
      <c r="G8" s="4">
        <v>0</v>
      </c>
      <c r="H8" s="4">
        <v>0</v>
      </c>
      <c r="I8" s="4">
        <v>0</v>
      </c>
      <c r="J8" s="4" t="str">
        <f t="shared" si="3"/>
        <v>-</v>
      </c>
      <c r="K8" s="5" t="str">
        <f t="shared" si="1"/>
        <v>-</v>
      </c>
      <c r="L8" s="4" t="str">
        <f t="shared" si="2"/>
        <v>-</v>
      </c>
    </row>
    <row r="9" ht="15" customHeight="1" spans="1:12">
      <c r="A9" s="6" t="s">
        <v>17</v>
      </c>
      <c r="B9" s="8">
        <v>0</v>
      </c>
      <c r="C9" s="8">
        <v>0</v>
      </c>
      <c r="D9" s="8">
        <v>0</v>
      </c>
      <c r="E9" s="8">
        <v>0</v>
      </c>
      <c r="F9" s="9" t="str">
        <f t="shared" si="0"/>
        <v>-</v>
      </c>
      <c r="G9" s="8">
        <v>0</v>
      </c>
      <c r="H9" s="8">
        <v>0</v>
      </c>
      <c r="I9" s="8">
        <v>0</v>
      </c>
      <c r="J9" s="8" t="str">
        <f t="shared" si="3"/>
        <v>-</v>
      </c>
      <c r="K9" s="9" t="str">
        <f t="shared" si="1"/>
        <v>-</v>
      </c>
      <c r="L9" s="8" t="str">
        <f t="shared" si="2"/>
        <v>-</v>
      </c>
    </row>
    <row r="10" ht="15" customHeight="1" spans="1:12">
      <c r="A10" s="2" t="s">
        <v>18</v>
      </c>
      <c r="B10" s="4">
        <v>0</v>
      </c>
      <c r="C10" s="4">
        <v>0</v>
      </c>
      <c r="D10" s="4">
        <v>0</v>
      </c>
      <c r="E10" s="4">
        <v>0</v>
      </c>
      <c r="F10" s="5" t="str">
        <f t="shared" si="0"/>
        <v>-</v>
      </c>
      <c r="G10" s="4">
        <v>0</v>
      </c>
      <c r="H10" s="4">
        <v>0</v>
      </c>
      <c r="I10" s="4">
        <v>0</v>
      </c>
      <c r="J10" s="4" t="str">
        <f t="shared" si="3"/>
        <v>-</v>
      </c>
      <c r="K10" s="5" t="str">
        <f t="shared" si="1"/>
        <v>-</v>
      </c>
      <c r="L10" s="4" t="str">
        <f t="shared" si="2"/>
        <v>-</v>
      </c>
    </row>
    <row r="11" ht="15" customHeight="1" spans="1:12">
      <c r="A11" s="6" t="s">
        <v>19</v>
      </c>
      <c r="B11" s="8">
        <v>0</v>
      </c>
      <c r="C11" s="8">
        <v>0</v>
      </c>
      <c r="D11" s="8">
        <v>0</v>
      </c>
      <c r="E11" s="8">
        <v>0</v>
      </c>
      <c r="F11" s="9" t="str">
        <f t="shared" si="0"/>
        <v>-</v>
      </c>
      <c r="G11" s="8">
        <v>0</v>
      </c>
      <c r="H11" s="8">
        <v>0</v>
      </c>
      <c r="I11" s="8">
        <v>0</v>
      </c>
      <c r="J11" s="8" t="str">
        <f t="shared" si="3"/>
        <v>-</v>
      </c>
      <c r="K11" s="9" t="str">
        <f t="shared" si="1"/>
        <v>-</v>
      </c>
      <c r="L11" s="8" t="str">
        <f t="shared" si="2"/>
        <v>-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si="3"/>
        <v>-</v>
      </c>
      <c r="K12" s="5" t="str">
        <f t="shared" si="1"/>
        <v>-</v>
      </c>
      <c r="L12" s="4" t="str">
        <f t="shared" si="2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3"/>
        <v>-</v>
      </c>
      <c r="K13" s="9" t="str">
        <f t="shared" si="1"/>
        <v>-</v>
      </c>
      <c r="L13" s="8" t="str">
        <f t="shared" si="2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3"/>
        <v>-</v>
      </c>
      <c r="K14" s="5" t="str">
        <f t="shared" si="1"/>
        <v>-</v>
      </c>
      <c r="L14" s="4" t="str">
        <f t="shared" si="2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3"/>
        <v>-</v>
      </c>
      <c r="K15" s="9" t="str">
        <f t="shared" si="1"/>
        <v>-</v>
      </c>
      <c r="L15" s="8" t="str">
        <f t="shared" si="2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3"/>
        <v>-</v>
      </c>
      <c r="K16" s="5" t="str">
        <f t="shared" si="1"/>
        <v>-</v>
      </c>
      <c r="L16" s="4" t="str">
        <f t="shared" si="2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3"/>
        <v>-</v>
      </c>
      <c r="K17" s="9" t="str">
        <f t="shared" si="1"/>
        <v>-</v>
      </c>
      <c r="L17" s="8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3">
        <v>553</v>
      </c>
      <c r="C2" s="3">
        <v>823</v>
      </c>
      <c r="D2" s="4">
        <v>10144.1</v>
      </c>
      <c r="E2" s="4">
        <v>1451.64</v>
      </c>
      <c r="F2" s="5">
        <f t="shared" ref="F2:F19" si="0">IF(D2=0,"-",E2/D2)</f>
        <v>0.143101901597973</v>
      </c>
      <c r="G2" s="4">
        <v>8692.46</v>
      </c>
      <c r="H2" s="4">
        <v>0</v>
      </c>
      <c r="I2" s="4">
        <v>8692.46</v>
      </c>
      <c r="J2" s="4">
        <v>4644.99</v>
      </c>
      <c r="K2" s="5">
        <f t="shared" ref="K2:K19" si="1">IF(I2=0,"-",J2/I2)</f>
        <v>0.534370017233326</v>
      </c>
      <c r="L2" s="4">
        <f t="shared" ref="L2:L19" si="2">IF(B2=0,"-",D2/B2)</f>
        <v>18.3437613019892</v>
      </c>
    </row>
    <row r="3" ht="15" customHeight="1" spans="1:12">
      <c r="A3" s="6" t="s">
        <v>11</v>
      </c>
      <c r="B3" s="7">
        <v>569</v>
      </c>
      <c r="C3" s="7">
        <v>903</v>
      </c>
      <c r="D3" s="8">
        <v>10886.9</v>
      </c>
      <c r="E3" s="8">
        <v>2068.37</v>
      </c>
      <c r="F3" s="9">
        <f t="shared" si="0"/>
        <v>0.189987048654805</v>
      </c>
      <c r="G3" s="8">
        <v>8753.92</v>
      </c>
      <c r="H3" s="8">
        <v>0</v>
      </c>
      <c r="I3" s="8">
        <v>8818.53</v>
      </c>
      <c r="J3" s="8">
        <v>4323.93</v>
      </c>
      <c r="K3" s="9">
        <f t="shared" si="1"/>
        <v>0.490323217134829</v>
      </c>
      <c r="L3" s="8">
        <f t="shared" si="2"/>
        <v>19.1333919156415</v>
      </c>
    </row>
    <row r="4" ht="15" customHeight="1" spans="1:12">
      <c r="A4" s="2" t="s">
        <v>12</v>
      </c>
      <c r="B4" s="3">
        <v>887</v>
      </c>
      <c r="C4" s="3">
        <v>1489</v>
      </c>
      <c r="D4" s="4">
        <v>17299.6</v>
      </c>
      <c r="E4" s="4">
        <v>4445.68</v>
      </c>
      <c r="F4" s="5">
        <f t="shared" si="0"/>
        <v>0.256981664315938</v>
      </c>
      <c r="G4" s="4">
        <v>11229.53</v>
      </c>
      <c r="H4" s="4">
        <v>0</v>
      </c>
      <c r="I4" s="4">
        <v>12853.92</v>
      </c>
      <c r="J4" s="4">
        <v>6063.57</v>
      </c>
      <c r="K4" s="5">
        <f t="shared" si="1"/>
        <v>0.471729246797864</v>
      </c>
      <c r="L4" s="4">
        <f t="shared" si="2"/>
        <v>19.5034949267193</v>
      </c>
    </row>
    <row r="5" ht="15" customHeight="1" spans="1:12">
      <c r="A5" s="6" t="s">
        <v>13</v>
      </c>
      <c r="B5" s="7">
        <v>607</v>
      </c>
      <c r="C5" s="7">
        <v>983</v>
      </c>
      <c r="D5" s="8">
        <v>11419.5</v>
      </c>
      <c r="E5" s="8">
        <v>2969.46</v>
      </c>
      <c r="F5" s="9">
        <f t="shared" si="0"/>
        <v>0.260034152108236</v>
      </c>
      <c r="G5" s="8">
        <v>7394.49</v>
      </c>
      <c r="H5" s="8">
        <v>0</v>
      </c>
      <c r="I5" s="8">
        <v>8450.04</v>
      </c>
      <c r="J5" s="8">
        <v>4033.61</v>
      </c>
      <c r="K5" s="9">
        <f t="shared" si="1"/>
        <v>0.477348036222314</v>
      </c>
      <c r="L5" s="8">
        <f t="shared" si="2"/>
        <v>18.8130148270181</v>
      </c>
    </row>
    <row r="6" ht="15" customHeight="1" spans="1:12">
      <c r="A6" s="2" t="s">
        <v>14</v>
      </c>
      <c r="B6" s="4">
        <v>0</v>
      </c>
      <c r="C6" s="4">
        <v>0</v>
      </c>
      <c r="D6" s="4">
        <v>0</v>
      </c>
      <c r="E6" s="4">
        <v>0</v>
      </c>
      <c r="F6" s="5" t="str">
        <f t="shared" si="0"/>
        <v>-</v>
      </c>
      <c r="G6" s="4">
        <v>0</v>
      </c>
      <c r="H6" s="4">
        <v>0</v>
      </c>
      <c r="I6" s="4">
        <v>0</v>
      </c>
      <c r="J6" s="4" t="str">
        <f t="shared" ref="J6:J17" si="3">IF(I6=0,"-",I6-0)</f>
        <v>-</v>
      </c>
      <c r="K6" s="5" t="str">
        <f t="shared" si="1"/>
        <v>-</v>
      </c>
      <c r="L6" s="4" t="str">
        <f t="shared" si="2"/>
        <v>-</v>
      </c>
    </row>
    <row r="7" ht="15" customHeight="1" spans="1:12">
      <c r="A7" s="6" t="s">
        <v>15</v>
      </c>
      <c r="B7" s="8">
        <v>0</v>
      </c>
      <c r="C7" s="8">
        <v>0</v>
      </c>
      <c r="D7" s="8">
        <v>0</v>
      </c>
      <c r="E7" s="8">
        <v>0</v>
      </c>
      <c r="F7" s="9" t="str">
        <f t="shared" si="0"/>
        <v>-</v>
      </c>
      <c r="G7" s="8">
        <v>0</v>
      </c>
      <c r="H7" s="8">
        <v>0</v>
      </c>
      <c r="I7" s="8">
        <v>0</v>
      </c>
      <c r="J7" s="8" t="str">
        <f t="shared" si="3"/>
        <v>-</v>
      </c>
      <c r="K7" s="9" t="str">
        <f t="shared" si="1"/>
        <v>-</v>
      </c>
      <c r="L7" s="8" t="str">
        <f t="shared" si="2"/>
        <v>-</v>
      </c>
    </row>
    <row r="8" ht="15" customHeight="1" spans="1:12">
      <c r="A8" s="2" t="s">
        <v>16</v>
      </c>
      <c r="B8" s="4">
        <v>0</v>
      </c>
      <c r="C8" s="4">
        <v>0</v>
      </c>
      <c r="D8" s="4">
        <v>0</v>
      </c>
      <c r="E8" s="4">
        <v>0</v>
      </c>
      <c r="F8" s="5" t="str">
        <f t="shared" si="0"/>
        <v>-</v>
      </c>
      <c r="G8" s="4">
        <v>0</v>
      </c>
      <c r="H8" s="4">
        <v>0</v>
      </c>
      <c r="I8" s="4">
        <v>0</v>
      </c>
      <c r="J8" s="4" t="str">
        <f t="shared" si="3"/>
        <v>-</v>
      </c>
      <c r="K8" s="5" t="str">
        <f t="shared" si="1"/>
        <v>-</v>
      </c>
      <c r="L8" s="4" t="str">
        <f t="shared" si="2"/>
        <v>-</v>
      </c>
    </row>
    <row r="9" ht="15" customHeight="1" spans="1:12">
      <c r="A9" s="6" t="s">
        <v>17</v>
      </c>
      <c r="B9" s="8">
        <v>0</v>
      </c>
      <c r="C9" s="8">
        <v>0</v>
      </c>
      <c r="D9" s="8">
        <v>0</v>
      </c>
      <c r="E9" s="8">
        <v>0</v>
      </c>
      <c r="F9" s="9" t="str">
        <f t="shared" si="0"/>
        <v>-</v>
      </c>
      <c r="G9" s="8">
        <v>0</v>
      </c>
      <c r="H9" s="8">
        <v>0</v>
      </c>
      <c r="I9" s="8">
        <v>0</v>
      </c>
      <c r="J9" s="8" t="str">
        <f t="shared" si="3"/>
        <v>-</v>
      </c>
      <c r="K9" s="9" t="str">
        <f t="shared" si="1"/>
        <v>-</v>
      </c>
      <c r="L9" s="8" t="str">
        <f t="shared" si="2"/>
        <v>-</v>
      </c>
    </row>
    <row r="10" ht="15" customHeight="1" spans="1:12">
      <c r="A10" s="2" t="s">
        <v>18</v>
      </c>
      <c r="B10" s="4">
        <v>0</v>
      </c>
      <c r="C10" s="4">
        <v>0</v>
      </c>
      <c r="D10" s="4">
        <v>0</v>
      </c>
      <c r="E10" s="4">
        <v>0</v>
      </c>
      <c r="F10" s="5" t="str">
        <f t="shared" si="0"/>
        <v>-</v>
      </c>
      <c r="G10" s="4">
        <v>0</v>
      </c>
      <c r="H10" s="4">
        <v>0</v>
      </c>
      <c r="I10" s="4">
        <v>0</v>
      </c>
      <c r="J10" s="4" t="str">
        <f t="shared" si="3"/>
        <v>-</v>
      </c>
      <c r="K10" s="5" t="str">
        <f t="shared" si="1"/>
        <v>-</v>
      </c>
      <c r="L10" s="4" t="str">
        <f t="shared" si="2"/>
        <v>-</v>
      </c>
    </row>
    <row r="11" ht="15" customHeight="1" spans="1:12">
      <c r="A11" s="6" t="s">
        <v>19</v>
      </c>
      <c r="B11" s="8">
        <v>0</v>
      </c>
      <c r="C11" s="8">
        <v>0</v>
      </c>
      <c r="D11" s="8">
        <v>0</v>
      </c>
      <c r="E11" s="8">
        <v>0</v>
      </c>
      <c r="F11" s="9" t="str">
        <f t="shared" si="0"/>
        <v>-</v>
      </c>
      <c r="G11" s="8">
        <v>0</v>
      </c>
      <c r="H11" s="8">
        <v>0</v>
      </c>
      <c r="I11" s="8">
        <v>0</v>
      </c>
      <c r="J11" s="8" t="str">
        <f t="shared" si="3"/>
        <v>-</v>
      </c>
      <c r="K11" s="9" t="str">
        <f t="shared" si="1"/>
        <v>-</v>
      </c>
      <c r="L11" s="8" t="str">
        <f t="shared" si="2"/>
        <v>-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si="3"/>
        <v>-</v>
      </c>
      <c r="K12" s="5" t="str">
        <f t="shared" si="1"/>
        <v>-</v>
      </c>
      <c r="L12" s="4" t="str">
        <f t="shared" si="2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3"/>
        <v>-</v>
      </c>
      <c r="K13" s="9" t="str">
        <f t="shared" si="1"/>
        <v>-</v>
      </c>
      <c r="L13" s="8" t="str">
        <f t="shared" si="2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3"/>
        <v>-</v>
      </c>
      <c r="K14" s="5" t="str">
        <f t="shared" si="1"/>
        <v>-</v>
      </c>
      <c r="L14" s="4" t="str">
        <f t="shared" si="2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3"/>
        <v>-</v>
      </c>
      <c r="K15" s="9" t="str">
        <f t="shared" si="1"/>
        <v>-</v>
      </c>
      <c r="L15" s="8" t="str">
        <f t="shared" si="2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3"/>
        <v>-</v>
      </c>
      <c r="K16" s="5" t="str">
        <f t="shared" si="1"/>
        <v>-</v>
      </c>
      <c r="L16" s="4" t="str">
        <f t="shared" si="2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3"/>
        <v>-</v>
      </c>
      <c r="K17" s="9" t="str">
        <f t="shared" si="1"/>
        <v>-</v>
      </c>
      <c r="L17" s="8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.7962962962963" customWidth="1"/>
    <col min="2" max="2" width="13" customWidth="1"/>
    <col min="3" max="3" width="10.1018518518519" customWidth="1"/>
    <col min="4" max="6" width="13" customWidth="1"/>
    <col min="7" max="7" width="9.2037037037037" customWidth="1"/>
    <col min="8" max="8" width="10.1018518518519" customWidth="1"/>
    <col min="9" max="12" width="13" customWidth="1"/>
  </cols>
  <sheetData>
    <row r="1" ht="15.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</row>
    <row r="2" ht="15" customHeight="1" spans="1:12">
      <c r="A2" s="2" t="s">
        <v>10</v>
      </c>
      <c r="B2" s="3">
        <v>388</v>
      </c>
      <c r="C2" s="3">
        <v>601</v>
      </c>
      <c r="D2" s="4">
        <v>7142</v>
      </c>
      <c r="E2" s="4">
        <v>923.34</v>
      </c>
      <c r="F2" s="5">
        <f t="shared" ref="F2:F19" si="0">IF(D2=0,"-",E2/D2)</f>
        <v>0.129283113973677</v>
      </c>
      <c r="G2" s="4">
        <v>6218.66</v>
      </c>
      <c r="H2" s="4">
        <v>0</v>
      </c>
      <c r="I2" s="4">
        <v>6218.66</v>
      </c>
      <c r="J2" s="4">
        <v>3321.1</v>
      </c>
      <c r="K2" s="5">
        <f t="shared" ref="K2:K19" si="1">IF(I2=0,"-",J2/I2)</f>
        <v>0.534053960177916</v>
      </c>
      <c r="L2" s="4">
        <f t="shared" ref="L2:L19" si="2">IF(B2=0,"-",D2/B2)</f>
        <v>18.4072164948454</v>
      </c>
    </row>
    <row r="3" ht="15" customHeight="1" spans="1:12">
      <c r="A3" s="6" t="s">
        <v>11</v>
      </c>
      <c r="B3" s="7">
        <v>112</v>
      </c>
      <c r="C3" s="7">
        <v>182</v>
      </c>
      <c r="D3" s="8">
        <v>2357.3</v>
      </c>
      <c r="E3" s="8">
        <v>415.3</v>
      </c>
      <c r="F3" s="9">
        <f t="shared" si="0"/>
        <v>0.176176133712298</v>
      </c>
      <c r="G3" s="8">
        <v>1942</v>
      </c>
      <c r="H3" s="8">
        <v>0</v>
      </c>
      <c r="I3" s="8">
        <v>1942</v>
      </c>
      <c r="J3" s="8">
        <v>1005.7</v>
      </c>
      <c r="K3" s="9">
        <f t="shared" si="1"/>
        <v>0.517868177136972</v>
      </c>
      <c r="L3" s="8">
        <f t="shared" si="2"/>
        <v>21.0473214285714</v>
      </c>
    </row>
    <row r="4" ht="15" customHeight="1" spans="1:12">
      <c r="A4" s="2" t="s">
        <v>12</v>
      </c>
      <c r="B4" s="4">
        <v>0</v>
      </c>
      <c r="C4" s="4">
        <v>0</v>
      </c>
      <c r="D4" s="4">
        <v>0</v>
      </c>
      <c r="E4" s="4">
        <v>0</v>
      </c>
      <c r="F4" s="5" t="str">
        <f t="shared" si="0"/>
        <v>-</v>
      </c>
      <c r="G4" s="4">
        <v>0</v>
      </c>
      <c r="H4" s="4">
        <v>0</v>
      </c>
      <c r="I4" s="4">
        <v>0</v>
      </c>
      <c r="J4" s="4" t="str">
        <f t="shared" ref="J4:J17" si="3">IF(I4=0,"-",I4-0)</f>
        <v>-</v>
      </c>
      <c r="K4" s="5" t="str">
        <f t="shared" si="1"/>
        <v>-</v>
      </c>
      <c r="L4" s="4" t="str">
        <f t="shared" si="2"/>
        <v>-</v>
      </c>
    </row>
    <row r="5" ht="15" customHeight="1" spans="1:12">
      <c r="A5" s="6" t="s">
        <v>13</v>
      </c>
      <c r="B5" s="8">
        <v>0</v>
      </c>
      <c r="C5" s="8">
        <v>0</v>
      </c>
      <c r="D5" s="8">
        <v>0</v>
      </c>
      <c r="E5" s="8">
        <v>0</v>
      </c>
      <c r="F5" s="9" t="str">
        <f t="shared" si="0"/>
        <v>-</v>
      </c>
      <c r="G5" s="8">
        <v>0</v>
      </c>
      <c r="H5" s="8">
        <v>0</v>
      </c>
      <c r="I5" s="8">
        <v>0</v>
      </c>
      <c r="J5" s="8" t="str">
        <f t="shared" si="3"/>
        <v>-</v>
      </c>
      <c r="K5" s="9" t="str">
        <f t="shared" si="1"/>
        <v>-</v>
      </c>
      <c r="L5" s="8" t="str">
        <f t="shared" si="2"/>
        <v>-</v>
      </c>
    </row>
    <row r="6" ht="15" customHeight="1" spans="1:12">
      <c r="A6" s="2" t="s">
        <v>14</v>
      </c>
      <c r="B6" s="4">
        <v>0</v>
      </c>
      <c r="C6" s="4">
        <v>0</v>
      </c>
      <c r="D6" s="4">
        <v>0</v>
      </c>
      <c r="E6" s="4">
        <v>0</v>
      </c>
      <c r="F6" s="5" t="str">
        <f t="shared" si="0"/>
        <v>-</v>
      </c>
      <c r="G6" s="4">
        <v>0</v>
      </c>
      <c r="H6" s="4">
        <v>0</v>
      </c>
      <c r="I6" s="4">
        <v>0</v>
      </c>
      <c r="J6" s="4" t="str">
        <f t="shared" si="3"/>
        <v>-</v>
      </c>
      <c r="K6" s="5" t="str">
        <f t="shared" si="1"/>
        <v>-</v>
      </c>
      <c r="L6" s="4" t="str">
        <f t="shared" si="2"/>
        <v>-</v>
      </c>
    </row>
    <row r="7" ht="15" customHeight="1" spans="1:12">
      <c r="A7" s="6" t="s">
        <v>15</v>
      </c>
      <c r="B7" s="8">
        <v>0</v>
      </c>
      <c r="C7" s="8">
        <v>0</v>
      </c>
      <c r="D7" s="8">
        <v>0</v>
      </c>
      <c r="E7" s="8">
        <v>0</v>
      </c>
      <c r="F7" s="9" t="str">
        <f t="shared" si="0"/>
        <v>-</v>
      </c>
      <c r="G7" s="8">
        <v>0</v>
      </c>
      <c r="H7" s="8">
        <v>0</v>
      </c>
      <c r="I7" s="8">
        <v>0</v>
      </c>
      <c r="J7" s="8" t="str">
        <f t="shared" si="3"/>
        <v>-</v>
      </c>
      <c r="K7" s="9" t="str">
        <f t="shared" si="1"/>
        <v>-</v>
      </c>
      <c r="L7" s="8" t="str">
        <f t="shared" si="2"/>
        <v>-</v>
      </c>
    </row>
    <row r="8" ht="15" customHeight="1" spans="1:12">
      <c r="A8" s="2" t="s">
        <v>16</v>
      </c>
      <c r="B8" s="4">
        <v>0</v>
      </c>
      <c r="C8" s="4">
        <v>0</v>
      </c>
      <c r="D8" s="4">
        <v>0</v>
      </c>
      <c r="E8" s="4">
        <v>0</v>
      </c>
      <c r="F8" s="5" t="str">
        <f t="shared" si="0"/>
        <v>-</v>
      </c>
      <c r="G8" s="4">
        <v>0</v>
      </c>
      <c r="H8" s="4">
        <v>0</v>
      </c>
      <c r="I8" s="4">
        <v>0</v>
      </c>
      <c r="J8" s="4" t="str">
        <f t="shared" si="3"/>
        <v>-</v>
      </c>
      <c r="K8" s="5" t="str">
        <f t="shared" si="1"/>
        <v>-</v>
      </c>
      <c r="L8" s="4" t="str">
        <f t="shared" si="2"/>
        <v>-</v>
      </c>
    </row>
    <row r="9" ht="15" customHeight="1" spans="1:12">
      <c r="A9" s="6" t="s">
        <v>17</v>
      </c>
      <c r="B9" s="8">
        <v>0</v>
      </c>
      <c r="C9" s="8">
        <v>0</v>
      </c>
      <c r="D9" s="8">
        <v>0</v>
      </c>
      <c r="E9" s="8">
        <v>0</v>
      </c>
      <c r="F9" s="9" t="str">
        <f t="shared" si="0"/>
        <v>-</v>
      </c>
      <c r="G9" s="8">
        <v>0</v>
      </c>
      <c r="H9" s="8">
        <v>0</v>
      </c>
      <c r="I9" s="8">
        <v>0</v>
      </c>
      <c r="J9" s="8" t="str">
        <f t="shared" si="3"/>
        <v>-</v>
      </c>
      <c r="K9" s="9" t="str">
        <f t="shared" si="1"/>
        <v>-</v>
      </c>
      <c r="L9" s="8" t="str">
        <f t="shared" si="2"/>
        <v>-</v>
      </c>
    </row>
    <row r="10" ht="15" customHeight="1" spans="1:12">
      <c r="A10" s="2" t="s">
        <v>18</v>
      </c>
      <c r="B10" s="4">
        <v>0</v>
      </c>
      <c r="C10" s="4">
        <v>0</v>
      </c>
      <c r="D10" s="4">
        <v>0</v>
      </c>
      <c r="E10" s="4">
        <v>0</v>
      </c>
      <c r="F10" s="5" t="str">
        <f t="shared" si="0"/>
        <v>-</v>
      </c>
      <c r="G10" s="4">
        <v>0</v>
      </c>
      <c r="H10" s="4">
        <v>0</v>
      </c>
      <c r="I10" s="4">
        <v>0</v>
      </c>
      <c r="J10" s="4" t="str">
        <f t="shared" si="3"/>
        <v>-</v>
      </c>
      <c r="K10" s="5" t="str">
        <f t="shared" si="1"/>
        <v>-</v>
      </c>
      <c r="L10" s="4" t="str">
        <f t="shared" si="2"/>
        <v>-</v>
      </c>
    </row>
    <row r="11" ht="15" customHeight="1" spans="1:12">
      <c r="A11" s="6" t="s">
        <v>19</v>
      </c>
      <c r="B11" s="8">
        <v>0</v>
      </c>
      <c r="C11" s="8">
        <v>0</v>
      </c>
      <c r="D11" s="8">
        <v>0</v>
      </c>
      <c r="E11" s="8">
        <v>0</v>
      </c>
      <c r="F11" s="9" t="str">
        <f t="shared" si="0"/>
        <v>-</v>
      </c>
      <c r="G11" s="8">
        <v>0</v>
      </c>
      <c r="H11" s="8">
        <v>0</v>
      </c>
      <c r="I11" s="8">
        <v>0</v>
      </c>
      <c r="J11" s="8" t="str">
        <f t="shared" si="3"/>
        <v>-</v>
      </c>
      <c r="K11" s="9" t="str">
        <f t="shared" si="1"/>
        <v>-</v>
      </c>
      <c r="L11" s="8" t="str">
        <f t="shared" si="2"/>
        <v>-</v>
      </c>
    </row>
    <row r="12" ht="15" customHeight="1" spans="1:12">
      <c r="A12" s="2" t="s">
        <v>20</v>
      </c>
      <c r="B12" s="4">
        <v>0</v>
      </c>
      <c r="C12" s="4">
        <v>0</v>
      </c>
      <c r="D12" s="4">
        <v>0</v>
      </c>
      <c r="E12" s="4">
        <v>0</v>
      </c>
      <c r="F12" s="5" t="str">
        <f t="shared" si="0"/>
        <v>-</v>
      </c>
      <c r="G12" s="4">
        <v>0</v>
      </c>
      <c r="H12" s="4">
        <v>0</v>
      </c>
      <c r="I12" s="4">
        <v>0</v>
      </c>
      <c r="J12" s="4" t="str">
        <f t="shared" si="3"/>
        <v>-</v>
      </c>
      <c r="K12" s="5" t="str">
        <f t="shared" si="1"/>
        <v>-</v>
      </c>
      <c r="L12" s="4" t="str">
        <f t="shared" si="2"/>
        <v>-</v>
      </c>
    </row>
    <row r="13" ht="15" customHeight="1" spans="1:12">
      <c r="A13" s="6" t="s">
        <v>21</v>
      </c>
      <c r="B13" s="8">
        <v>0</v>
      </c>
      <c r="C13" s="8">
        <v>0</v>
      </c>
      <c r="D13" s="8">
        <v>0</v>
      </c>
      <c r="E13" s="8">
        <v>0</v>
      </c>
      <c r="F13" s="9" t="str">
        <f t="shared" si="0"/>
        <v>-</v>
      </c>
      <c r="G13" s="8">
        <v>0</v>
      </c>
      <c r="H13" s="8">
        <v>0</v>
      </c>
      <c r="I13" s="8">
        <v>0</v>
      </c>
      <c r="J13" s="8" t="str">
        <f t="shared" si="3"/>
        <v>-</v>
      </c>
      <c r="K13" s="9" t="str">
        <f t="shared" si="1"/>
        <v>-</v>
      </c>
      <c r="L13" s="8" t="str">
        <f t="shared" si="2"/>
        <v>-</v>
      </c>
    </row>
    <row r="14" ht="15" customHeight="1" spans="1:12">
      <c r="A14" s="2" t="s">
        <v>22</v>
      </c>
      <c r="B14" s="4">
        <v>0</v>
      </c>
      <c r="C14" s="4">
        <v>0</v>
      </c>
      <c r="D14" s="4">
        <v>0</v>
      </c>
      <c r="E14" s="4">
        <v>0</v>
      </c>
      <c r="F14" s="5" t="str">
        <f t="shared" si="0"/>
        <v>-</v>
      </c>
      <c r="G14" s="4">
        <v>0</v>
      </c>
      <c r="H14" s="4">
        <v>0</v>
      </c>
      <c r="I14" s="4">
        <v>0</v>
      </c>
      <c r="J14" s="4" t="str">
        <f t="shared" si="3"/>
        <v>-</v>
      </c>
      <c r="K14" s="5" t="str">
        <f t="shared" si="1"/>
        <v>-</v>
      </c>
      <c r="L14" s="4" t="str">
        <f t="shared" si="2"/>
        <v>-</v>
      </c>
    </row>
    <row r="15" ht="15" customHeight="1" spans="1:12">
      <c r="A15" s="6" t="s">
        <v>23</v>
      </c>
      <c r="B15" s="8">
        <v>0</v>
      </c>
      <c r="C15" s="8">
        <v>0</v>
      </c>
      <c r="D15" s="8">
        <v>0</v>
      </c>
      <c r="E15" s="8">
        <v>0</v>
      </c>
      <c r="F15" s="9" t="str">
        <f t="shared" si="0"/>
        <v>-</v>
      </c>
      <c r="G15" s="8">
        <v>0</v>
      </c>
      <c r="H15" s="8">
        <v>0</v>
      </c>
      <c r="I15" s="8">
        <v>0</v>
      </c>
      <c r="J15" s="8" t="str">
        <f t="shared" si="3"/>
        <v>-</v>
      </c>
      <c r="K15" s="9" t="str">
        <f t="shared" si="1"/>
        <v>-</v>
      </c>
      <c r="L15" s="8" t="str">
        <f t="shared" si="2"/>
        <v>-</v>
      </c>
    </row>
    <row r="16" ht="15" customHeight="1" spans="1:12">
      <c r="A16" s="2" t="s">
        <v>24</v>
      </c>
      <c r="B16" s="4">
        <v>0</v>
      </c>
      <c r="C16" s="4">
        <v>0</v>
      </c>
      <c r="D16" s="4">
        <v>0</v>
      </c>
      <c r="E16" s="4">
        <v>0</v>
      </c>
      <c r="F16" s="5" t="str">
        <f t="shared" si="0"/>
        <v>-</v>
      </c>
      <c r="G16" s="4">
        <v>0</v>
      </c>
      <c r="H16" s="4">
        <v>0</v>
      </c>
      <c r="I16" s="4">
        <v>0</v>
      </c>
      <c r="J16" s="4" t="str">
        <f t="shared" si="3"/>
        <v>-</v>
      </c>
      <c r="K16" s="5" t="str">
        <f t="shared" si="1"/>
        <v>-</v>
      </c>
      <c r="L16" s="4" t="str">
        <f t="shared" si="2"/>
        <v>-</v>
      </c>
    </row>
    <row r="17" ht="15" customHeight="1" spans="1:12">
      <c r="A17" s="6" t="s">
        <v>25</v>
      </c>
      <c r="B17" s="8">
        <v>0</v>
      </c>
      <c r="C17" s="8">
        <v>0</v>
      </c>
      <c r="D17" s="8">
        <v>0</v>
      </c>
      <c r="E17" s="8">
        <v>0</v>
      </c>
      <c r="F17" s="9" t="str">
        <f t="shared" si="0"/>
        <v>-</v>
      </c>
      <c r="G17" s="8">
        <v>0</v>
      </c>
      <c r="H17" s="8">
        <v>0</v>
      </c>
      <c r="I17" s="8">
        <v>0</v>
      </c>
      <c r="J17" s="8" t="str">
        <f t="shared" si="3"/>
        <v>-</v>
      </c>
      <c r="K17" s="9" t="str">
        <f t="shared" si="1"/>
        <v>-</v>
      </c>
      <c r="L17" s="8" t="str">
        <f t="shared" si="2"/>
        <v>-</v>
      </c>
    </row>
    <row r="18" ht="15" customHeight="1" spans="1:12">
      <c r="A18" s="10" t="s">
        <v>26</v>
      </c>
      <c r="B18" s="11">
        <v>0</v>
      </c>
      <c r="C18" s="11">
        <v>0</v>
      </c>
      <c r="D18" s="12">
        <v>0</v>
      </c>
      <c r="E18" s="12">
        <v>0</v>
      </c>
      <c r="F18" s="13" t="str">
        <f t="shared" si="0"/>
        <v>-</v>
      </c>
      <c r="G18" s="12">
        <v>0</v>
      </c>
      <c r="H18" s="12">
        <v>0</v>
      </c>
      <c r="I18" s="12">
        <v>0</v>
      </c>
      <c r="J18" s="12">
        <v>0</v>
      </c>
      <c r="K18" s="13" t="str">
        <f t="shared" si="1"/>
        <v>-</v>
      </c>
      <c r="L18" s="12" t="str">
        <f t="shared" si="2"/>
        <v>-</v>
      </c>
    </row>
    <row r="19" ht="15" spans="1:12">
      <c r="A19" s="14" t="s">
        <v>27</v>
      </c>
      <c r="B19" s="15">
        <v>0</v>
      </c>
      <c r="C19" s="15">
        <v>0</v>
      </c>
      <c r="D19" s="16">
        <v>0</v>
      </c>
      <c r="E19" s="16">
        <v>0</v>
      </c>
      <c r="F19" s="17" t="str">
        <f t="shared" si="0"/>
        <v>-</v>
      </c>
      <c r="G19" s="16">
        <v>0</v>
      </c>
      <c r="H19" s="16">
        <v>0</v>
      </c>
      <c r="I19" s="16">
        <v>0</v>
      </c>
      <c r="J19" s="16">
        <v>0</v>
      </c>
      <c r="K19" s="17" t="str">
        <f t="shared" si="1"/>
        <v>-</v>
      </c>
      <c r="L19" s="16" t="str">
        <f t="shared" si="2"/>
        <v>-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总计</vt:lpstr>
      <vt:lpstr>北京朝阳站店</vt:lpstr>
      <vt:lpstr>平安里店</vt:lpstr>
      <vt:lpstr>蓟门桥店</vt:lpstr>
      <vt:lpstr>鼓楼大街店</vt:lpstr>
      <vt:lpstr>安华桥店</vt:lpstr>
      <vt:lpstr>北沙滩店</vt:lpstr>
      <vt:lpstr>三元桥店</vt:lpstr>
      <vt:lpstr>人民大学店</vt:lpstr>
      <vt:lpstr>望京东店</vt:lpstr>
      <vt:lpstr>高家园店</vt:lpstr>
      <vt:lpstr>草桥店</vt:lpstr>
      <vt:lpstr>崔各庄店</vt:lpstr>
      <vt:lpstr>和平西桥店</vt:lpstr>
      <vt:lpstr>东四十条店</vt:lpstr>
      <vt:lpstr>草房店</vt:lpstr>
      <vt:lpstr>成寿寺店</vt:lpstr>
      <vt:lpstr>安贞桥店</vt:lpstr>
      <vt:lpstr>石佛营店</vt:lpstr>
      <vt:lpstr>北太平庄店</vt:lpstr>
      <vt:lpstr>将台西店</vt:lpstr>
      <vt:lpstr>四季青桥店</vt:lpstr>
      <vt:lpstr>蓝靛厂店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我的影子</cp:lastModifiedBy>
  <dcterms:created xsi:type="dcterms:W3CDTF">2026-05-06T04:13:00Z</dcterms:created>
  <dcterms:modified xsi:type="dcterms:W3CDTF">2026-07-01T06:39:45Z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EA0A85FD785A4DD6BE49DED77B470045_12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